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ogin" state="visible" r:id="rId5"/>
    <sheet sheetId="3" name="Campaigns" state="visible" r:id="rId6"/>
  </sheets>
  <calcPr calcId="171027" fullCalcOnLoad="1"/>
</workbook>
</file>

<file path=xl/sharedStrings.xml><?xml version="1.0" encoding="utf-8"?>
<sst xmlns="http://schemas.openxmlformats.org/spreadsheetml/2006/main" count="827" uniqueCount="338">
  <si>
    <t>SalesHiker Mobile Test Execution Summary</t>
  </si>
  <si>
    <t>Updated 30-Oct-2026 from 5 automated run(s).</t>
  </si>
  <si>
    <t>Module</t>
  </si>
  <si>
    <t>Total Test Cases</t>
  </si>
  <si>
    <t>Automation</t>
  </si>
  <si>
    <t>Manual</t>
  </si>
  <si>
    <t>Executed</t>
  </si>
  <si>
    <t>PASS</t>
  </si>
  <si>
    <t>FAIL</t>
  </si>
  <si>
    <t>Not Executed</t>
  </si>
  <si>
    <t>Pass Rate (of executed)</t>
  </si>
  <si>
    <t>Login (mobile sign-in)</t>
  </si>
  <si>
    <t>Campaigns (WhatsApp)</t>
  </si>
  <si>
    <t>Total</t>
  </si>
  <si>
    <t>Counts are formulas over the Status and Mode columns of each module sheet.</t>
  </si>
  <si>
    <t>Not Executed = no PASS/FAIL recorded yet (skipped tests and environment aborts are not results; see Comments).</t>
  </si>
  <si>
    <t>Tests linked to an open defect (MLGN-012, MCMP-012, MCMP-019) are expected to FAIL until it is fixed: their assertions describe the correct behaviour.</t>
  </si>
  <si>
    <t>Generated by tools\excel\update-workbooks.js after every run (scripts\run-*.ps1). Edit test-case text in tools\excel\modules\*.cases.js, not here.</t>
  </si>
  <si>
    <t>Credentials are never written to this file; they come from config\.env (git-ignored).</t>
  </si>
  <si>
    <t>Req. ID #</t>
  </si>
  <si>
    <t>Feature / Module</t>
  </si>
  <si>
    <t>Applicable Role</t>
  </si>
  <si>
    <t>Test Senarios ID #</t>
  </si>
  <si>
    <t>Test Scenarios</t>
  </si>
  <si>
    <t>Test Case ID</t>
  </si>
  <si>
    <t>Test Cases</t>
  </si>
  <si>
    <t>Pre-requisites</t>
  </si>
  <si>
    <t>Test Environment</t>
  </si>
  <si>
    <t>Test Steps</t>
  </si>
  <si>
    <t>Inputs Data</t>
  </si>
  <si>
    <t>Test Type (Smoke / Functional / Regression / UAT / API)</t>
  </si>
  <si>
    <t>Test Design (Positive / Negative / Boundary Value / Equivalence Partitioning / Error Handling / Validation)</t>
  </si>
  <si>
    <t>Expected Result</t>
  </si>
  <si>
    <t>Actual Result</t>
  </si>
  <si>
    <t>Screenshot / Video</t>
  </si>
  <si>
    <t xml:space="preserve">Status
(PASS / FAIL)</t>
  </si>
  <si>
    <t>Test Iteration</t>
  </si>
  <si>
    <t>Test Executed By</t>
  </si>
  <si>
    <t>Date of Execution</t>
  </si>
  <si>
    <t xml:space="preserve">Mode
(Manual / Automation)</t>
  </si>
  <si>
    <t>Comments</t>
  </si>
  <si>
    <t>REQ-MAUTH-01</t>
  </si>
  <si>
    <t>Login</t>
  </si>
  <si>
    <t>Workspace user (mobile app)</t>
  </si>
  <si>
    <t>TS-MLGN-01</t>
  </si>
  <si>
    <t>Valid users can sign in</t>
  </si>
  <si>
    <t>MLGN-001</t>
  </si>
  <si>
    <t>Sign in with valid credentials</t>
  </si>
  <si>
    <t xml:space="preserve">Registered beta test account exists (config\.env).
App installed.
User is signed out (test starts with cleared app data).
Sign-in screen is shown.</t>
  </si>
  <si>
    <t xml:space="preserve">Beta backend: accountsbeta.saleshiker.com
Android device (see run summary)</t>
  </si>
  <si>
    <t xml:space="preserve">1. Launch the app.
2. Enter the registered email.
3. Enter the correct password.
4. Tap "Sign in".</t>
  </si>
  <si>
    <t xml:space="preserve">Email: test account email (from config\.env)
Password: test account password (from config\.env, not shown)</t>
  </si>
  <si>
    <t>Smoke</t>
  </si>
  <si>
    <t>Positive</t>
  </si>
  <si>
    <t>Home ("Today") dashboard opens with the "Unread chats" summary. Sign-in screen is no longer shown.</t>
  </si>
  <si>
    <t xml:space="preserve">Spec: test/specs/smoke/login.spec.ts
Not executed yet.</t>
  </si>
  <si>
    <t>MLGN-002</t>
  </si>
  <si>
    <t>Sign in by pressing Enter on the keyboard</t>
  </si>
  <si>
    <t xml:space="preserve">1. Launch the app.
2. Enter the registered email.
3. Enter the correct password.
4. Press Enter on the on-screen keyboard (do not tap "Sign in").</t>
  </si>
  <si>
    <t>Functional</t>
  </si>
  <si>
    <t>Home ("Today") dashboard opens.</t>
  </si>
  <si>
    <t xml:space="preserve">Spec: test/specs/regression/login-valid.spec.ts
Not executed yet.</t>
  </si>
  <si>
    <t>MLGN-003</t>
  </si>
  <si>
    <t>Email is not case-sensitive</t>
  </si>
  <si>
    <t xml:space="preserve">1. Launch the app.
2. Enter the registered email in UPPER CASE.
3. Enter the correct password.
4. Tap "Sign in".</t>
  </si>
  <si>
    <t xml:space="preserve">Email: test account email in UPPER CASE
Password: correct password (from config\.env)</t>
  </si>
  <si>
    <t>Equivalence Partitioning</t>
  </si>
  <si>
    <t>MLGN-004</t>
  </si>
  <si>
    <t>Spaces around the email are ignored</t>
  </si>
  <si>
    <t xml:space="preserve">1. Launch the app.
2. Enter the registered email with two spaces before and after it.
3. Enter the correct password.
4. Tap "Sign in".</t>
  </si>
  <si>
    <t xml:space="preserve">Email: "  &lt;test account email&gt;  "
Password: correct password (from config\.env)</t>
  </si>
  <si>
    <t>Spaces are trimmed and the Home ("Today") dashboard opens.</t>
  </si>
  <si>
    <t>REQ-MAUTH-02</t>
  </si>
  <si>
    <t>TS-MLGN-02</t>
  </si>
  <si>
    <t>Invalid credentials are rejected</t>
  </si>
  <si>
    <t>MLGN-005</t>
  </si>
  <si>
    <t>Sign in with a wrong password</t>
  </si>
  <si>
    <t xml:space="preserve">1. Launch the app.
2. Enter the registered email.
3. Enter a wrong password.
4. Tap "Sign in".</t>
  </si>
  <si>
    <t xml:space="preserve">Email: test account email (from config\.env)
Password: WrongPassword123!</t>
  </si>
  <si>
    <t>Negative</t>
  </si>
  <si>
    <t>Error banner "Email or password is wrong." is shown. User stays on the sign-in screen.</t>
  </si>
  <si>
    <t xml:space="preserve">Spec: test/specs/regression/login-invalid.spec.ts
Not executed yet.</t>
  </si>
  <si>
    <t>MLGN-006</t>
  </si>
  <si>
    <t>Sign in with an unregistered email</t>
  </si>
  <si>
    <t xml:space="preserve">App installed.
User is signed out (test starts with cleared app data).
Sign-in screen is shown.</t>
  </si>
  <si>
    <t xml:space="preserve">1. Launch the app.
2. Enter an email that has no account.
3. Enter any password.
4. Tap "Sign in".</t>
  </si>
  <si>
    <t xml:space="preserve">Email: qa.nonexistent.user@example.com
Password: WrongPassword123!</t>
  </si>
  <si>
    <t>The same generic error "Email or password is wrong." is shown (the app does not reveal whether the account exists). User stays on sign-in.</t>
  </si>
  <si>
    <t>MLGN-007</t>
  </si>
  <si>
    <t>Password is case-sensitive</t>
  </si>
  <si>
    <t xml:space="preserve">1. Launch the app.
2. Enter the registered email.
3. Enter the correct password with the case of every letter swapped.
4. Tap "Sign in".</t>
  </si>
  <si>
    <t xml:space="preserve">Email: test account email (from config\.env)
Password: correct password, letter case swapped (generated, not shown)</t>
  </si>
  <si>
    <t>"Email or password is wrong." is shown. User is not signed in.</t>
  </si>
  <si>
    <t>REQ-MAUTH-03</t>
  </si>
  <si>
    <t>TS-MLGN-03</t>
  </si>
  <si>
    <t>The form validates input before sign-in</t>
  </si>
  <si>
    <t>MLGN-008</t>
  </si>
  <si>
    <t>Empty form cannot be submitted</t>
  </si>
  <si>
    <t xml:space="preserve">1. Launch the app.
2. Leave email and password empty.
3. Tap "Sign in".</t>
  </si>
  <si>
    <t xml:space="preserve">Email: (blank)
Password: (blank)</t>
  </si>
  <si>
    <t>Validation</t>
  </si>
  <si>
    <t>"Enter your email" and "Enter your password" are shown under the fields. No sign-in request ("Signing in..." is not shown).</t>
  </si>
  <si>
    <t xml:space="preserve">Spec: test/specs/regression/login-validation.spec.ts
Not executed yet.</t>
  </si>
  <si>
    <t>MLGN-009</t>
  </si>
  <si>
    <t>Email is required</t>
  </si>
  <si>
    <t xml:space="preserve">1. Launch the app.
2. Leave email empty.
3. Enter a password.
4. Tap "Sign in".</t>
  </si>
  <si>
    <t xml:space="preserve">Email: (blank)
Password: WrongPassword123!</t>
  </si>
  <si>
    <t>Only "Enter your email" is shown. User stays on sign-in.</t>
  </si>
  <si>
    <t>MLGN-010</t>
  </si>
  <si>
    <t>Password is required</t>
  </si>
  <si>
    <t xml:space="preserve">1. Launch the app.
2. Enter an email.
3. Leave password empty.
4. Tap "Sign in".</t>
  </si>
  <si>
    <t xml:space="preserve">Email: qa.user@example.com
Password: (blank)</t>
  </si>
  <si>
    <t>Only "Enter your password" is shown. User stays on sign-in.</t>
  </si>
  <si>
    <t>MLGN-011</t>
  </si>
  <si>
    <t>Malformed email shows an inline format error</t>
  </si>
  <si>
    <t xml:space="preserve">1. Launch the app.
2. Enter an email without "@".
3. Enter a password.
4. Tap "Sign in".</t>
  </si>
  <si>
    <t xml:space="preserve">Email: not-an-email
Password: Secret123</t>
  </si>
  <si>
    <t>Inline error "Enter a full email, like you@company.com." is shown under the email field. User stays on sign-in.</t>
  </si>
  <si>
    <t>MLGN-012</t>
  </si>
  <si>
    <t>Malformed email is not sent to the server</t>
  </si>
  <si>
    <t xml:space="preserve">1. Launch the app.
2. Enter an email without "@".
3. Enter a password.
4. Tap "Sign in".
5. Wait 10 seconds.</t>
  </si>
  <si>
    <t>Only the inline format error is shown. The form is not submitted: no "Signing in..." state and no server error banner. Empty fields are already handled this way (MLGN-008).</t>
  </si>
  <si>
    <t>REQ-MAUTH-04</t>
  </si>
  <si>
    <t>TS-MLGN-04</t>
  </si>
  <si>
    <t>Unusual input is handled safely</t>
  </si>
  <si>
    <t>MLGN-013</t>
  </si>
  <si>
    <t>SQL-injection style input does not sign in</t>
  </si>
  <si>
    <t xml:space="preserve">1. Launch the app.
2. Enter an SQL-injection string as email and password.
3. Tap "Sign in".</t>
  </si>
  <si>
    <t xml:space="preserve">Email: ' OR '1'='1
Password: ' OR '1'='1</t>
  </si>
  <si>
    <t>Input is rejected as a malformed email ("Enter a full email, like you@company.com."). User is not signed in and the app does not crash.</t>
  </si>
  <si>
    <t xml:space="preserve">Spec: test/specs/regression/login-robustness.spec.ts
Not executed yet.</t>
  </si>
  <si>
    <t>MLGN-014</t>
  </si>
  <si>
    <t>Whitespace-only password is treated as empty</t>
  </si>
  <si>
    <t xml:space="preserve">1. Launch the app.
2. Enter a valid email.
3. Enter only spaces as the password.
4. Tap "Sign in".</t>
  </si>
  <si>
    <t xml:space="preserve">Email: qa.user@example.com
Password: 5 spaces</t>
  </si>
  <si>
    <t>Boundary Value</t>
  </si>
  <si>
    <t>"Enter your password" is shown and no sign-in is attempted ("Email or password is wrong." does not appear).</t>
  </si>
  <si>
    <t>MLGN-015</t>
  </si>
  <si>
    <t>Over-long email is rejected without a crash</t>
  </si>
  <si>
    <t xml:space="preserve">1. Launch the app.
2. Enter an email whose part before "@" is 250 characters.
3. Enter a password.
4. Tap "Sign in".</t>
  </si>
  <si>
    <t xml:space="preserve">Email: 250 x "a" + @example.com
Password: Secret123</t>
  </si>
  <si>
    <t>Sign-in is refused with an error message and the app stays responsive on the sign-in screen.</t>
  </si>
  <si>
    <t>REQ-MAUTH-05</t>
  </si>
  <si>
    <t>TS-MLGN-05</t>
  </si>
  <si>
    <t>Sign-in screen offers the expected options</t>
  </si>
  <si>
    <t>MLGN-016</t>
  </si>
  <si>
    <t>Sign-in screen shows all expected elements</t>
  </si>
  <si>
    <t xml:space="preserve">1. Launch the app from a clean state.
2. Check each field, button and link.</t>
  </si>
  <si>
    <t>N/A</t>
  </si>
  <si>
    <t>Logo, "Welcome back to SalesHiker", Email address, Password, "Show password", "Sign in", "Forgot password?", "Scan a code from the web app", "New here? Create your workspace" and the dark-mode toggle are visible.</t>
  </si>
  <si>
    <t xml:space="preserve">Spec: test/specs/smoke/app-launch.spec.ts
Not executed yet.</t>
  </si>
  <si>
    <t>MLGN-017</t>
  </si>
  <si>
    <t>Password can be shown and hidden</t>
  </si>
  <si>
    <t xml:space="preserve">1. Launch the app.
2. Type a password.
3. Tap "Show password".
4. Tap "Hide password".</t>
  </si>
  <si>
    <t>Password: Secret123</t>
  </si>
  <si>
    <t>Password is masked, then shown as plain text (button label "Hide password"), then masked again (label "Show password").</t>
  </si>
  <si>
    <t xml:space="preserve">Spec: test/specs/regression/login-options.spec.ts
Not executed yet.</t>
  </si>
  <si>
    <t>MLGN-018</t>
  </si>
  <si>
    <t>"Forgot password?" opens the reset page</t>
  </si>
  <si>
    <t xml:space="preserve">1. Launch the app.
2. Tap "Forgot password?".</t>
  </si>
  <si>
    <t>The password-reset page (accountsbeta.saleshiker.com) opens in the device browser and the app leaves the sign-in screen.</t>
  </si>
  <si>
    <t>MLGN-019</t>
  </si>
  <si>
    <t>"Create your workspace" opens the sign-up page</t>
  </si>
  <si>
    <t xml:space="preserve">1. Launch the app.
2. Tap "New here? Create your workspace".</t>
  </si>
  <si>
    <t>The sign-up page (accountsbeta.saleshiker.com) opens in the device browser.</t>
  </si>
  <si>
    <t>REQ-MAUTH-06</t>
  </si>
  <si>
    <t>TS-MLGN-06</t>
  </si>
  <si>
    <t>Session stays active until the user signs out</t>
  </si>
  <si>
    <t>MLGN-020</t>
  </si>
  <si>
    <t>Session stays active after the app is restarted</t>
  </si>
  <si>
    <t xml:space="preserve">1. Sign in with valid credentials.
2. Force-stop the app.
3. Launch the app again.</t>
  </si>
  <si>
    <t>Home ("Today") opens directly. The user is not asked to sign in again.</t>
  </si>
  <si>
    <t xml:space="preserve">Spec: test/specs/regression/session.spec.ts
Not executed yet.</t>
  </si>
  <si>
    <t>MLGN-021</t>
  </si>
  <si>
    <t>Back on Home leaves the app without signing out</t>
  </si>
  <si>
    <t xml:space="preserve">1. Sign in with valid credentials.
2. On Home, press the Android Back button.
3. Open the app again.</t>
  </si>
  <si>
    <t>Back sends the app to the background (it does not return to the sign-in screen). Reopening shows Home, still signed in.</t>
  </si>
  <si>
    <t>REQ-MAUTH-07</t>
  </si>
  <si>
    <t>TS-MLGN-07</t>
  </si>
  <si>
    <t>Users can sign out</t>
  </si>
  <si>
    <t>MLGN-022</t>
  </si>
  <si>
    <t>Sign out asks for confirmation and Cancel keeps the session</t>
  </si>
  <si>
    <t xml:space="preserve">1. Sign in with valid credentials.
2. Open More (bottom navigation).
3. Scroll down and tap "Sign out".
4. Tap "Cancel" in the dialog.</t>
  </si>
  <si>
    <t>Dialog "Sign out?" with "You stop getting notifications on this phone." and Cancel / Sign out buttons. After Cancel the dialog closes and the user stays signed in on More.</t>
  </si>
  <si>
    <t>MLGN-023</t>
  </si>
  <si>
    <t>User can sign out and is not signed back in on relaunch</t>
  </si>
  <si>
    <t xml:space="preserve">1. Sign in with valid credentials.
2. Open More and tap "Sign out".
3. Confirm with "Sign out".
4. Force-stop and relaunch the app.</t>
  </si>
  <si>
    <t>After confirming, the sign-in screen is shown. After relaunch the sign-in screen is still shown (Home is not reachable).</t>
  </si>
  <si>
    <t>REQ-MAUTH-08</t>
  </si>
  <si>
    <t>TS-MLGN-08</t>
  </si>
  <si>
    <t>Network problems are reported clearly</t>
  </si>
  <si>
    <t>MLGN-024</t>
  </si>
  <si>
    <t>Sign in without network shows a connection error</t>
  </si>
  <si>
    <t xml:space="preserve">Registered beta test account exists (config\.env).
App installed.
User is signed out (test starts with cleared app data).
Sign-in screen is shown.
Device is in airplane mode.</t>
  </si>
  <si>
    <t xml:space="preserve">1. Launch the app.
2. Turn on airplane mode.
3. Enter valid credentials.
4. Tap "Sign in".</t>
  </si>
  <si>
    <t>Error Handling</t>
  </si>
  <si>
    <t>"Check your connection and try again." is shown. User stays on sign-in; nothing is lost.</t>
  </si>
  <si>
    <t xml:space="preserve">Spec: test/specs/regression/network.spec.ts
Not executed yet.</t>
  </si>
  <si>
    <t>REQ-MCMP-01</t>
  </si>
  <si>
    <t>Campaigns</t>
  </si>
  <si>
    <t>Signed-in workspace user (mobile app)</t>
  </si>
  <si>
    <t>TS-MCMP-01</t>
  </si>
  <si>
    <t>Campaign list shows the account's campaigns</t>
  </si>
  <si>
    <t>MCMP-001</t>
  </si>
  <si>
    <t>Campaign list opens from More with search, filters and campaigns</t>
  </si>
  <si>
    <t xml:space="preserve">Registered beta test account (config\.env) with at least one WhatsApp campaign.
User is signed in.</t>
  </si>
  <si>
    <t xml:space="preserve">Beta backend: accountsbeta.saleshiker.com
DQCI7XBU5LXWB6KZ (RMX3997, Android 16); app com.saleshiker.app 1.0.0</t>
  </si>
  <si>
    <t xml:space="preserve">1. Open More.
2. Tap "Campaigns" (WHATSAPP section).</t>
  </si>
  <si>
    <t>Test account from config\.env. Campaign data: live beta account data.</t>
  </si>
  <si>
    <t>Campaigns screen opens: title with the total count, "Search campaigns" field, filter chips All / Drip / Retarget / Active / Paused with counts, "All" selected, and at least one campaign row.</t>
  </si>
  <si>
    <t>Campaign list shown with count, search, five filter chips ("All" selected) and campaign rows.</t>
  </si>
  <si>
    <t>Screenshot: screenshots/MCMP-001_campaign_list.png</t>
  </si>
  <si>
    <t>Automation Suite (Appium + WebdriverIO)</t>
  </si>
  <si>
    <t xml:space="preserve">Spec: test/specs/smoke/campaigns.spec.ts
Last result: PASS on 30-Oct-2026, run 20261030-171502-full.
History (latest first): 30-Oct-2026 PASS, 30-Oct-2026 PASS, 30-Oct-2026 PASS</t>
  </si>
  <si>
    <t>MCMP-002</t>
  </si>
  <si>
    <t>Each row shows name, date, type, enrolled, sent and status</t>
  </si>
  <si>
    <t xml:space="preserve">Registered beta test account (config\.env) with at least one WhatsApp campaign.
App restarted signed in (signs in only if the session is gone).
More &gt; Campaigns is open, "All" selected, search empty.</t>
  </si>
  <si>
    <t>1. Read every row of the list (scroll to the end).</t>
  </si>
  <si>
    <t>Every row shows the campaign name, start date, type (Drip / Retarget), "&lt;n&gt; enrolled, &lt;n&gt; sent" and a status pill (Active / Paused); sent never exceeds enrolled. The list ends with "End of list. Edit steps or build new campaigns on the web app."</t>
  </si>
  <si>
    <t>All rows had name, date, type, enrolled/sent counts and status; end-of-list footer shown.</t>
  </si>
  <si>
    <t>Screenshot: screenshots/MCMP-002_rows.png</t>
  </si>
  <si>
    <t xml:space="preserve">Spec: test/specs/regression/campaigns-list.spec.ts
Last result: PASS on 30-Oct-2026, run 20261030-171502-full.
History (latest first): 30-Oct-2026 PASS, 30-Oct-2026 PASS</t>
  </si>
  <si>
    <t>MCMP-003</t>
  </si>
  <si>
    <t>Header count and "All" chip count match the number of campaigns</t>
  </si>
  <si>
    <t xml:space="preserve">1. Read the count under the title.
2. Read the count on the "All" chip.
3. Count the rows (scroll to the end).</t>
  </si>
  <si>
    <t>Both counts equal the number of rows.</t>
  </si>
  <si>
    <t>Header count, "All" count and row count were equal.</t>
  </si>
  <si>
    <t>Run report: 20261030-171502-full</t>
  </si>
  <si>
    <t>TS-MCMP-02</t>
  </si>
  <si>
    <t>Filters narrow the list by type and status</t>
  </si>
  <si>
    <t>MCMP-004</t>
  </si>
  <si>
    <t>Type filters show only campaigns of that type and match the chip count</t>
  </si>
  <si>
    <t xml:space="preserve">1. Note all rows.
2. Tap "Drip"; read the rows.
3. Tap "Retarget"; read the rows.</t>
  </si>
  <si>
    <t>Each filter shows only campaigns of that type, as many as its chip count and as many as the unfiltered list has of that type.</t>
  </si>
  <si>
    <t>Drip and Retarget showed only their own campaigns, matching chip counts.</t>
  </si>
  <si>
    <t>Screenshot: screenshots/MCMP-004_Drip.png</t>
  </si>
  <si>
    <t>MCMP-005</t>
  </si>
  <si>
    <t>Status filters show only campaigns with that status and match the chip count</t>
  </si>
  <si>
    <t xml:space="preserve">1. Note all rows.
2. Tap "Active"; read the rows.
3. Scroll the chips and tap "Paused"; read the rows.</t>
  </si>
  <si>
    <t>Each filter shows only campaigns with that status, as many as its chip count and as many as the unfiltered list has with that status.</t>
  </si>
  <si>
    <t>Active and Paused showed only their own campaigns, matching chip counts.</t>
  </si>
  <si>
    <t>Screenshot: screenshots/MCMP-005_Active.png</t>
  </si>
  <si>
    <t xml:space="preserve">Spec: test/specs/regression/campaigns-list.spec.ts
Last result: PASS on 30-Oct-2026, run 20261030-171502-full.
History (latest first): 30-Oct-2026 PASS, 30-Oct-2026 FAIL</t>
  </si>
  <si>
    <t>MCMP-006</t>
  </si>
  <si>
    <t>Selected filter is marked and "All" restores the full list</t>
  </si>
  <si>
    <t xml:space="preserve">1. Tap "Paused".
2. Tap "All".</t>
  </si>
  <si>
    <t>The tapped chip is highlighted (selected); after "All" the full list is back.</t>
  </si>
  <si>
    <t>Selected chip highlighted; "All" restored every row.</t>
  </si>
  <si>
    <t>Screenshot: screenshots/MCMP-006_paused_selected.png</t>
  </si>
  <si>
    <t>MCMP-007</t>
  </si>
  <si>
    <t>Filter is kept after opening a campaign and resets when the list is reopened</t>
  </si>
  <si>
    <t xml:space="preserve">1. Tap "Active".
2. Open the first campaign, then tap Back.
3. Tap Back to More, then open Campaigns again.</t>
  </si>
  <si>
    <t>After Back from the detail, "Active" is still selected with the same rows. After reopening from More, "All" is selected.</t>
  </si>
  <si>
    <t>Filter kept after detail; reset to "All" after reopening.</t>
  </si>
  <si>
    <t>Screenshot: screenshots/MCMP-007_reopened_list.png</t>
  </si>
  <si>
    <t>TS-MCMP-03</t>
  </si>
  <si>
    <t>Search finds campaigns</t>
  </si>
  <si>
    <t>MCMP-008</t>
  </si>
  <si>
    <t>Search by part of a name is case-insensitive</t>
  </si>
  <si>
    <t xml:space="preserve">1. Take a word from a campaign name.
2. Type it in UPPER CASE in "Search campaigns".</t>
  </si>
  <si>
    <t>Search: a word from an existing campaign name, in upper case (read from the list at run time).</t>
  </si>
  <si>
    <t>Exactly the campaigns whose name contains the word (any case) are listed.</t>
  </si>
  <si>
    <t>Upper-case search listed every campaign containing the word.</t>
  </si>
  <si>
    <t>Screenshot: screenshots/MCMP-008_upper-case_search.png</t>
  </si>
  <si>
    <t xml:space="preserve">Spec: test/specs/regression/campaigns-search.spec.ts
Last result: PASS on 30-Oct-2026, run 20261030-171502-full.
History (latest first): 30-Oct-2026 PASS, 30-Oct-2026 PASS</t>
  </si>
  <si>
    <t>MCMP-009</t>
  </si>
  <si>
    <t>Search updates the filter chip counts to the matching campaigns</t>
  </si>
  <si>
    <t xml:space="preserve">1. Type a word from a campaign name in "Search campaigns".
2. Read the chip counts and the title.</t>
  </si>
  <si>
    <t>Search: a word from an existing campaign name (read from the list at run time).</t>
  </si>
  <si>
    <t>Each chip counts only the matching campaigns; the total under the title is hidden while searching.</t>
  </si>
  <si>
    <t>Chip counts matched the search results; title count hidden.</t>
  </si>
  <si>
    <t>MCMP-010</t>
  </si>
  <si>
    <t>No match shows the empty state and Clear Filters resets search and filter</t>
  </si>
  <si>
    <t xml:space="preserve">1. Tap "Drip".
2. Search for a name that does not exist.
3. Tap "Clear Filters".</t>
  </si>
  <si>
    <t>Search: qa-no-such-campaign-zz</t>
  </si>
  <si>
    <t>"No campaigns found" and "Try another name, type or status." with a "Clear Filters" button; all chip counts 0. Clear Filters empties the search, selects "All" and shows every campaign.</t>
  </si>
  <si>
    <t>Empty state shown; Clear Filters restored the full list with "All" selected.</t>
  </si>
  <si>
    <t>Screenshot: screenshots/MCMP-010_empty_state.png</t>
  </si>
  <si>
    <t xml:space="preserve">Spec: test/specs/regression/campaigns-search.spec.ts
Last result: PASS on 30-Oct-2026, run 20261030-171502-full.
History (latest first): 30-Oct-2026 PASS, 30-Oct-2026 FAIL</t>
  </si>
  <si>
    <t>MCMP-011</t>
  </si>
  <si>
    <t>Clear search (X) restores the full list</t>
  </si>
  <si>
    <t xml:space="preserve">1. Search for a name that does not exist.
2. Tap the X in the search field.</t>
  </si>
  <si>
    <t>The search field is empty and every campaign is listed again.</t>
  </si>
  <si>
    <t>Search cleared; full list shown.</t>
  </si>
  <si>
    <t>MCMP-012</t>
  </si>
  <si>
    <t>Search finds campaigns by type and status, as the empty-state hint says</t>
  </si>
  <si>
    <t xml:space="preserve">1. Search "drip", "retarget", "active" and "paused" in turn.
2. Compare with the campaigns of that type/status.</t>
  </si>
  <si>
    <t>Search: drip, retarget, active, paused</t>
  </si>
  <si>
    <t>The empty state tells users to "Try another name, type or status.", so each search lists every campaign of that type or status.</t>
  </si>
  <si>
    <t xml:space="preserve">searches that miss campaigns of that type/status: expected [ '"drip": 1 of 5', …(2) ] to deeply equal []
Defect: MCMP-D02</t>
  </si>
  <si>
    <t>Screenshot: MCMP-012_Search_finds_campaigns_by_type_and_status_as_the_empty-state_hint_says/screenshot.png</t>
  </si>
  <si>
    <t xml:space="preserve">Spec: test/specs/regression/campaigns-search.spec.ts
Last result: FAIL on 30-Oct-2026, run 20261030-173959-single-MCMP-012, defect MCMP-D02.
History (latest first): 30-Oct-2026 FAIL, 30-Oct-2026 FAIL, 30-Oct-2026 FAIL, 30-Oct-2026 FAIL</t>
  </si>
  <si>
    <t>TS-MCMP-04</t>
  </si>
  <si>
    <t>Campaign detail shows the campaign's state and results</t>
  </si>
  <si>
    <t>MCMP-013</t>
  </si>
  <si>
    <t>Detail opens with the name, status, type and enrolment of the tapped row</t>
  </si>
  <si>
    <t>1. Tap the first campaign.</t>
  </si>
  <si>
    <t>Title is the campaign name; the summary shows the same status, "&lt;type&gt;, started &lt;date&gt;" and "&lt;n&gt; enrolled: &lt;n&gt; active, &lt;n&gt; done" matching the row (active + done = enrolled).</t>
  </si>
  <si>
    <t>Detail title, status, type, start date and enrolment matched the list row.</t>
  </si>
  <si>
    <t>Screenshot: screenshots/MCMP-013_detail.png</t>
  </si>
  <si>
    <t xml:space="preserve">Spec: test/specs/regression/campaign-detail.spec.ts
Last result: PASS on 30-Oct-2026, run 20261030-171502-full.
History (latest first): 30-Oct-2026 PASS, 30-Oct-2026 PASS</t>
  </si>
  <si>
    <t>MCMP-014</t>
  </si>
  <si>
    <t>Delivery tiles agree with the list and their percentages</t>
  </si>
  <si>
    <t xml:space="preserve">1. Open a campaign that has sent messages.
2. Read the DELIVERY tiles.</t>
  </si>
  <si>
    <t>Sent equals the row's "sent"; Delivered, Read and Failed are at most Sent and their % = count / Sent (rounded); Read &lt;= Delivered.</t>
  </si>
  <si>
    <t>Delivery tiles consistent with the list and with each other.</t>
  </si>
  <si>
    <t>Screenshot: screenshots/MCMP-014_delivery.png</t>
  </si>
  <si>
    <t>MCMP-015</t>
  </si>
  <si>
    <t>Campaign with nobody enrolled shows no delivery stats and "No recipients yet"</t>
  </si>
  <si>
    <t>1. Open a campaign with 0 enrolled.</t>
  </si>
  <si>
    <t>No DELIVERY section; RECENT RECIPIENTS shows "No recipients yet".</t>
  </si>
  <si>
    <t>No delivery section; "No recipients yet" shown.</t>
  </si>
  <si>
    <t>Screenshot: screenshots/MCMP-015_empty_campaign.png</t>
  </si>
  <si>
    <t>MCMP-016</t>
  </si>
  <si>
    <t>Detail lists the steps and says edits are made on the web app</t>
  </si>
  <si>
    <t xml:space="preserve">1. Open the first campaign.
2. Read STEPS and the note at the bottom.</t>
  </si>
  <si>
    <t>STEPS lists numbered steps; the note "Edit steps, pause or resume campaigns on the web app." is shown (no edit controls on mobile).</t>
  </si>
  <si>
    <t>Numbered steps and the web-app note shown.</t>
  </si>
  <si>
    <t>Screenshot: screenshots/MCMP-016_steps.png</t>
  </si>
  <si>
    <t>MCMP-017</t>
  </si>
  <si>
    <t>A recipient opens the contact profile and Back returns to the campaign</t>
  </si>
  <si>
    <t xml:space="preserve">1. Open a campaign with enrolments.
2. Tap the first recent recipient.
3. Press Back.</t>
  </si>
  <si>
    <t>The recipient's contact profile opens (WhatsApp / Call / Add Task / Edit actions); Back returns to the same campaign.</t>
  </si>
  <si>
    <t>Contact profile opened; Back returned to the campaign.</t>
  </si>
  <si>
    <t>Screenshot: screenshots/MCMP-017_contact_profile.png</t>
  </si>
  <si>
    <t>MCMP-018</t>
  </si>
  <si>
    <t>Back goes from detail to the list and from the list to More</t>
  </si>
  <si>
    <t xml:space="preserve">1. Open a campaign.
2. Tap Back.
3. Tap Back again.</t>
  </si>
  <si>
    <t>First Back shows the campaign list; second Back shows More.</t>
  </si>
  <si>
    <t>Back navigation: detail &gt; list &gt; More.</t>
  </si>
  <si>
    <t>Screenshot: screenshots/MCMP-018_back_on_More.png</t>
  </si>
  <si>
    <t>MCMP-019</t>
  </si>
  <si>
    <t>Recipients who replied are counted as delivered and read</t>
  </si>
  <si>
    <t xml:space="preserve">1. Open each campaign that has sent messages.
2. Count recipients marked "Replied".
3. Read the Delivered and Read tiles.</t>
  </si>
  <si>
    <t>A reply means the message reached and was seen by the contact, so Delivered and Read are each at least the number of recipients who replied.</t>
  </si>
  <si>
    <t xml:space="preserve">Delivered (1 replied): expected +0 to be at least 1
Defect: MCMP-D01</t>
  </si>
  <si>
    <t>Screenshot: MCMP-019_Recipients_who_replied_are_counted_as_delivered_and_read/screenshot.png</t>
  </si>
  <si>
    <t xml:space="preserve">Spec: test/specs/regression/campaign-detail.spec.ts
Last result: FAIL on 30-Oct-2026, run 20261030-171502-full, defect MCMP-D01.
History (latest first): 30-Oct-2026 FAIL, 30-Oct-2026 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</si>
</sst>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;-0.0%;-"/>
    <numFmt numFmtId="165" formatCode="dd-mmm-yyyy"/>
  </numFmts>
  <fonts count="9" x14ac:knownFonts="1">
    <font>
      <color theme="1"/>
      <family val="2"/>
      <scheme val="minor"/>
      <sz val="11"/>
      <name val="Calibri"/>
    </font>
    <font>
      <b/>
      <sz val="14"/>
      <name val="Arial"/>
    </font>
    <font>
      <i/>
      <sz val="9"/>
      <name val="Arial"/>
    </font>
    <font>
      <b/>
      <color rgb="FFFFFFFF"/>
      <name val="Arial"/>
    </font>
    <font>
      <u/>
      <color rgb="FF0563C1"/>
      <sz val="10"/>
      <name val="Arial"/>
    </font>
    <font>
      <name val="Arial"/>
    </font>
    <font>
      <b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5" fontId="8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Login&apos;!A1" TargetMode="External"/><Relationship Id="rId2" Type="http://schemas.openxmlformats.org/officeDocument/2006/relationships/hyperlink" Target="#&apos;Campaigns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../reports/20261030-171502-full/screenshots/MCMP-001_campaign_list.png" TargetMode="External"/><Relationship Id="rId2" Type="http://schemas.openxmlformats.org/officeDocument/2006/relationships/hyperlink" Target="../reports/20261030-171502-full/screenshots/MCMP-002_rows.png" TargetMode="External"/><Relationship Id="rId3" Type="http://schemas.openxmlformats.org/officeDocument/2006/relationships/hyperlink" Target="../reports/20261030-171502-full/summary.md" TargetMode="External"/><Relationship Id="rId4" Type="http://schemas.openxmlformats.org/officeDocument/2006/relationships/hyperlink" Target="../reports/20261030-171502-full/screenshots/MCMP-004_Drip.png" TargetMode="External"/><Relationship Id="rId5" Type="http://schemas.openxmlformats.org/officeDocument/2006/relationships/hyperlink" Target="../reports/20261030-171502-full/screenshots/MCMP-005_Active.png" TargetMode="External"/><Relationship Id="rId6" Type="http://schemas.openxmlformats.org/officeDocument/2006/relationships/hyperlink" Target="../reports/20261030-171502-full/screenshots/MCMP-006_paused_selected.png" TargetMode="External"/><Relationship Id="rId7" Type="http://schemas.openxmlformats.org/officeDocument/2006/relationships/hyperlink" Target="../reports/20261030-171502-full/screenshots/MCMP-007_reopened_list.png" TargetMode="External"/><Relationship Id="rId8" Type="http://schemas.openxmlformats.org/officeDocument/2006/relationships/hyperlink" Target="../reports/20261030-171502-full/screenshots/MCMP-008_upper-case_search.png" TargetMode="External"/><Relationship Id="rId9" Type="http://schemas.openxmlformats.org/officeDocument/2006/relationships/hyperlink" Target="../reports/20261030-171502-full/summary.md" TargetMode="External"/><Relationship Id="rId10" Type="http://schemas.openxmlformats.org/officeDocument/2006/relationships/hyperlink" Target="../reports/20261030-171502-full/screenshots/MCMP-010_empty_state.png" TargetMode="External"/><Relationship Id="rId11" Type="http://schemas.openxmlformats.org/officeDocument/2006/relationships/hyperlink" Target="../reports/20261030-171502-full/summary.md" TargetMode="External"/><Relationship Id="rId12" Type="http://schemas.openxmlformats.org/officeDocument/2006/relationships/hyperlink" Target="../reports/20261030-173959-single-MCMP-012/failures/MCMP-012_Search_finds_campaigns_by_type_and_status_as_the_empty-state_hint_says/screenshot.png" TargetMode="External"/><Relationship Id="rId13" Type="http://schemas.openxmlformats.org/officeDocument/2006/relationships/hyperlink" Target="../reports/20261030-171502-full/screenshots/MCMP-013_detail.png" TargetMode="External"/><Relationship Id="rId14" Type="http://schemas.openxmlformats.org/officeDocument/2006/relationships/hyperlink" Target="../reports/20261030-171502-full/screenshots/MCMP-014_delivery.png" TargetMode="External"/><Relationship Id="rId15" Type="http://schemas.openxmlformats.org/officeDocument/2006/relationships/hyperlink" Target="../reports/20261030-171502-full/screenshots/MCMP-015_empty_campaign.png" TargetMode="External"/><Relationship Id="rId16" Type="http://schemas.openxmlformats.org/officeDocument/2006/relationships/hyperlink" Target="../reports/20261030-171502-full/screenshots/MCMP-016_steps.png" TargetMode="External"/><Relationship Id="rId17" Type="http://schemas.openxmlformats.org/officeDocument/2006/relationships/hyperlink" Target="../reports/20261030-171502-full/screenshots/MCMP-017_contact_profile.png" TargetMode="External"/><Relationship Id="rId18" Type="http://schemas.openxmlformats.org/officeDocument/2006/relationships/hyperlink" Target="../reports/20261030-171502-full/screenshots/MCMP-018_back_on_More.png" TargetMode="External"/><Relationship Id="rId19" Type="http://schemas.openxmlformats.org/officeDocument/2006/relationships/hyperlink" Target="../reports/20261030-171502-full/failures/MCMP-019_Recipients_who_replied_are_counted_as_delivered_and_read/screensho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FormatPr defaultRowHeight="15" outlineLevelRow="0" outlineLevelCol="0" x14ac:dyDescent="55"/>
  <cols>
    <col min="1" max="1" width="24" customWidth="1"/>
    <col min="2" max="9" width="1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ht="32" customHeight="1" spans="1:9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spans="1:9" x14ac:dyDescent="0.25">
      <c r="A4" s="4" t="s">
        <v>11</v>
      </c>
      <c r="B4" s="5">
        <f>C4+D4</f>
        <v>24</v>
      </c>
      <c r="C4" s="5">
        <f>COUNTIF('Login'!U2:U75,"Automation")</f>
        <v>24</v>
      </c>
      <c r="D4" s="5">
        <f>COUNTIF('Login'!U2:U75,"Manual")</f>
        <v>0</v>
      </c>
      <c r="E4" s="5">
        <f>F4+G4</f>
        <v>0</v>
      </c>
      <c r="F4" s="5">
        <f>COUNTIF('Login'!Q2:Q75,"PASS")</f>
        <v>0</v>
      </c>
      <c r="G4" s="5">
        <f>COUNTIF('Login'!Q2:Q75,"FAIL")</f>
        <v>0</v>
      </c>
      <c r="H4" s="5">
        <f>B4-E4</f>
        <v>24</v>
      </c>
      <c r="I4" s="6">
        <f>IF(E4=0,0,F4/E4)</f>
        <v>0</v>
      </c>
    </row>
    <row r="5" spans="1:9" x14ac:dyDescent="0.25">
      <c r="A5" s="4" t="s">
        <v>12</v>
      </c>
      <c r="B5" s="5">
        <f>C5+D5</f>
        <v>19</v>
      </c>
      <c r="C5" s="5">
        <f>COUNTIF('Campaigns'!U2:U70,"Automation")</f>
        <v>19</v>
      </c>
      <c r="D5" s="5">
        <f>COUNTIF('Campaigns'!U2:U70,"Manual")</f>
        <v>0</v>
      </c>
      <c r="E5" s="5">
        <f>F5+G5</f>
        <v>19</v>
      </c>
      <c r="F5" s="5">
        <f>COUNTIF('Campaigns'!Q2:Q70,"PASS")</f>
        <v>17</v>
      </c>
      <c r="G5" s="5">
        <f>COUNTIF('Campaigns'!Q2:Q70,"FAIL")</f>
        <v>2</v>
      </c>
      <c r="H5" s="5">
        <f>B5-E5</f>
        <v>0</v>
      </c>
      <c r="I5" s="6">
        <f>IF(E5=0,0,F5/E5)</f>
        <v>0.8947368421052632</v>
      </c>
    </row>
    <row r="6" spans="1:9" x14ac:dyDescent="0.25">
      <c r="A6" s="7" t="s">
        <v>13</v>
      </c>
      <c r="B6" s="8">
        <f>SUM(B4:B5)</f>
        <v>43</v>
      </c>
      <c r="C6" s="8">
        <f>SUM(C4:C5)</f>
        <v>43</v>
      </c>
      <c r="D6" s="8">
        <f>SUM(D4:D5)</f>
        <v>0</v>
      </c>
      <c r="E6" s="8">
        <f>SUM(E4:E5)</f>
        <v>19</v>
      </c>
      <c r="F6" s="8">
        <f>SUM(F4:F5)</f>
        <v>17</v>
      </c>
      <c r="G6" s="8">
        <f>SUM(G4:G5)</f>
        <v>2</v>
      </c>
      <c r="H6" s="8">
        <f>SUM(H4:H5)</f>
        <v>24</v>
      </c>
      <c r="I6" s="9">
        <f>IF(E6=0,0,F6/E6)</f>
        <v>0.8947368421052632</v>
      </c>
    </row>
    <row r="8" spans="1:1" x14ac:dyDescent="0.25">
      <c r="A8" s="2" t="s">
        <v>14</v>
      </c>
    </row>
    <row r="9" spans="1:1" x14ac:dyDescent="0.25">
      <c r="A9" s="2" t="s">
        <v>15</v>
      </c>
    </row>
    <row r="10" spans="1:1" x14ac:dyDescent="0.25">
      <c r="A10" s="2" t="s">
        <v>16</v>
      </c>
    </row>
    <row r="11" spans="1:1" x14ac:dyDescent="0.25">
      <c r="A11" s="2" t="s">
        <v>17</v>
      </c>
    </row>
    <row r="12" spans="1:1" x14ac:dyDescent="0.25">
      <c r="A12" s="2" t="s">
        <v>18</v>
      </c>
    </row>
  </sheetData>
  <hyperlinks>
    <hyperlink ref="A4" r:id="rId1" location="#'Login'!A1"/>
    <hyperlink ref="A5" r:id="rId2" location="#'Campaigns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5"/>
  <sheetViews>
    <sheetView workbookViewId="0">
      <pane xSplit="7" ySplit="1" topLeftCell="H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3" width="16" customWidth="1"/>
    <col min="4" max="4" width="13" customWidth="1"/>
    <col min="5" max="5" width="30" customWidth="1"/>
    <col min="6" max="6" width="12" customWidth="1"/>
    <col min="7" max="8" width="34" customWidth="1"/>
    <col min="9" max="9" width="26" customWidth="1"/>
    <col min="10" max="10" width="48" customWidth="1"/>
    <col min="11" max="11" width="34" customWidth="1"/>
    <col min="12" max="12" width="16" customWidth="1"/>
    <col min="13" max="13" width="20" customWidth="1"/>
    <col min="14" max="15" width="40" customWidth="1"/>
    <col min="16" max="16" width="34" customWidth="1"/>
    <col min="17" max="17" width="11" customWidth="1"/>
    <col min="18" max="18" width="10" customWidth="1"/>
    <col min="19" max="19" width="18" customWidth="1"/>
    <col min="20" max="21" width="14" customWidth="1"/>
    <col min="22" max="22" width="48" customWidth="1"/>
  </cols>
  <sheetData>
    <row r="1" ht="62" customHeight="1" spans="1:22" x14ac:dyDescent="0.25">
      <c r="A1" s="10" t="s">
        <v>19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29</v>
      </c>
      <c r="L1" s="10" t="s">
        <v>30</v>
      </c>
      <c r="M1" s="10" t="s">
        <v>31</v>
      </c>
      <c r="N1" s="10" t="s">
        <v>32</v>
      </c>
      <c r="O1" s="10" t="s">
        <v>33</v>
      </c>
      <c r="P1" s="10" t="s">
        <v>34</v>
      </c>
      <c r="Q1" s="10" t="s">
        <v>35</v>
      </c>
      <c r="R1" s="10" t="s">
        <v>36</v>
      </c>
      <c r="S1" s="10" t="s">
        <v>37</v>
      </c>
      <c r="T1" s="10" t="s">
        <v>38</v>
      </c>
      <c r="U1" s="10" t="s">
        <v>39</v>
      </c>
      <c r="V1" s="10" t="s">
        <v>40</v>
      </c>
    </row>
    <row r="2" spans="1:22" x14ac:dyDescent="0.25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11" t="s">
        <v>48</v>
      </c>
      <c r="I2" s="11" t="s">
        <v>49</v>
      </c>
      <c r="J2" s="11" t="s">
        <v>50</v>
      </c>
      <c r="K2" s="11" t="s">
        <v>51</v>
      </c>
      <c r="L2" s="11" t="s">
        <v>52</v>
      </c>
      <c r="M2" s="11" t="s">
        <v>53</v>
      </c>
      <c r="N2" s="11" t="s">
        <v>54</v>
      </c>
      <c r="O2" s="11"/>
      <c r="P2" s="11"/>
      <c r="Q2" s="12"/>
      <c r="R2" s="11"/>
      <c r="S2" s="11"/>
      <c r="T2" s="13"/>
      <c r="U2" s="11" t="s">
        <v>4</v>
      </c>
      <c r="V2" s="11" t="s">
        <v>55</v>
      </c>
    </row>
    <row r="3" spans="1:22" x14ac:dyDescent="0.25">
      <c r="A3" s="11" t="s">
        <v>41</v>
      </c>
      <c r="B3" s="11" t="s">
        <v>42</v>
      </c>
      <c r="C3" s="11" t="s">
        <v>43</v>
      </c>
      <c r="D3" s="11" t="s">
        <v>44</v>
      </c>
      <c r="E3" s="11" t="s">
        <v>45</v>
      </c>
      <c r="F3" s="11" t="s">
        <v>56</v>
      </c>
      <c r="G3" s="11" t="s">
        <v>57</v>
      </c>
      <c r="H3" s="11" t="s">
        <v>48</v>
      </c>
      <c r="I3" s="11" t="s">
        <v>49</v>
      </c>
      <c r="J3" s="11" t="s">
        <v>58</v>
      </c>
      <c r="K3" s="11" t="s">
        <v>51</v>
      </c>
      <c r="L3" s="11" t="s">
        <v>59</v>
      </c>
      <c r="M3" s="11" t="s">
        <v>53</v>
      </c>
      <c r="N3" s="11" t="s">
        <v>60</v>
      </c>
      <c r="O3" s="11"/>
      <c r="P3" s="11"/>
      <c r="Q3" s="12"/>
      <c r="R3" s="11"/>
      <c r="S3" s="11"/>
      <c r="T3" s="13"/>
      <c r="U3" s="11" t="s">
        <v>4</v>
      </c>
      <c r="V3" s="11" t="s">
        <v>61</v>
      </c>
    </row>
    <row r="4" spans="1:22" x14ac:dyDescent="0.25">
      <c r="A4" s="11" t="s">
        <v>41</v>
      </c>
      <c r="B4" s="11" t="s">
        <v>42</v>
      </c>
      <c r="C4" s="11" t="s">
        <v>43</v>
      </c>
      <c r="D4" s="11" t="s">
        <v>44</v>
      </c>
      <c r="E4" s="11" t="s">
        <v>45</v>
      </c>
      <c r="F4" s="11" t="s">
        <v>62</v>
      </c>
      <c r="G4" s="11" t="s">
        <v>63</v>
      </c>
      <c r="H4" s="11" t="s">
        <v>48</v>
      </c>
      <c r="I4" s="11" t="s">
        <v>49</v>
      </c>
      <c r="J4" s="11" t="s">
        <v>64</v>
      </c>
      <c r="K4" s="11" t="s">
        <v>65</v>
      </c>
      <c r="L4" s="11" t="s">
        <v>59</v>
      </c>
      <c r="M4" s="11" t="s">
        <v>66</v>
      </c>
      <c r="N4" s="11" t="s">
        <v>60</v>
      </c>
      <c r="O4" s="11"/>
      <c r="P4" s="11"/>
      <c r="Q4" s="12"/>
      <c r="R4" s="11"/>
      <c r="S4" s="11"/>
      <c r="T4" s="13"/>
      <c r="U4" s="11" t="s">
        <v>4</v>
      </c>
      <c r="V4" s="11" t="s">
        <v>61</v>
      </c>
    </row>
    <row r="5" spans="1:22" x14ac:dyDescent="0.25">
      <c r="A5" s="11" t="s">
        <v>41</v>
      </c>
      <c r="B5" s="11" t="s">
        <v>42</v>
      </c>
      <c r="C5" s="11" t="s">
        <v>43</v>
      </c>
      <c r="D5" s="11" t="s">
        <v>44</v>
      </c>
      <c r="E5" s="11" t="s">
        <v>45</v>
      </c>
      <c r="F5" s="11" t="s">
        <v>67</v>
      </c>
      <c r="G5" s="11" t="s">
        <v>68</v>
      </c>
      <c r="H5" s="11" t="s">
        <v>48</v>
      </c>
      <c r="I5" s="11" t="s">
        <v>49</v>
      </c>
      <c r="J5" s="11" t="s">
        <v>69</v>
      </c>
      <c r="K5" s="11" t="s">
        <v>70</v>
      </c>
      <c r="L5" s="11" t="s">
        <v>59</v>
      </c>
      <c r="M5" s="11" t="s">
        <v>66</v>
      </c>
      <c r="N5" s="11" t="s">
        <v>71</v>
      </c>
      <c r="O5" s="11"/>
      <c r="P5" s="11"/>
      <c r="Q5" s="12"/>
      <c r="R5" s="11"/>
      <c r="S5" s="11"/>
      <c r="T5" s="13"/>
      <c r="U5" s="11" t="s">
        <v>4</v>
      </c>
      <c r="V5" s="11" t="s">
        <v>61</v>
      </c>
    </row>
    <row r="6" spans="1:22" x14ac:dyDescent="0.25">
      <c r="A6" s="11" t="s">
        <v>72</v>
      </c>
      <c r="B6" s="11" t="s">
        <v>42</v>
      </c>
      <c r="C6" s="11" t="s">
        <v>43</v>
      </c>
      <c r="D6" s="11" t="s">
        <v>73</v>
      </c>
      <c r="E6" s="11" t="s">
        <v>74</v>
      </c>
      <c r="F6" s="11" t="s">
        <v>75</v>
      </c>
      <c r="G6" s="11" t="s">
        <v>76</v>
      </c>
      <c r="H6" s="11" t="s">
        <v>48</v>
      </c>
      <c r="I6" s="11" t="s">
        <v>49</v>
      </c>
      <c r="J6" s="11" t="s">
        <v>77</v>
      </c>
      <c r="K6" s="11" t="s">
        <v>78</v>
      </c>
      <c r="L6" s="11" t="s">
        <v>59</v>
      </c>
      <c r="M6" s="11" t="s">
        <v>79</v>
      </c>
      <c r="N6" s="11" t="s">
        <v>80</v>
      </c>
      <c r="O6" s="11"/>
      <c r="P6" s="11"/>
      <c r="Q6" s="12"/>
      <c r="R6" s="11"/>
      <c r="S6" s="11"/>
      <c r="T6" s="13"/>
      <c r="U6" s="11" t="s">
        <v>4</v>
      </c>
      <c r="V6" s="11" t="s">
        <v>81</v>
      </c>
    </row>
    <row r="7" spans="1:22" x14ac:dyDescent="0.25">
      <c r="A7" s="11" t="s">
        <v>72</v>
      </c>
      <c r="B7" s="11" t="s">
        <v>42</v>
      </c>
      <c r="C7" s="11" t="s">
        <v>43</v>
      </c>
      <c r="D7" s="11" t="s">
        <v>73</v>
      </c>
      <c r="E7" s="11" t="s">
        <v>74</v>
      </c>
      <c r="F7" s="11" t="s">
        <v>82</v>
      </c>
      <c r="G7" s="11" t="s">
        <v>83</v>
      </c>
      <c r="H7" s="11" t="s">
        <v>84</v>
      </c>
      <c r="I7" s="11" t="s">
        <v>49</v>
      </c>
      <c r="J7" s="11" t="s">
        <v>85</v>
      </c>
      <c r="K7" s="11" t="s">
        <v>86</v>
      </c>
      <c r="L7" s="11" t="s">
        <v>59</v>
      </c>
      <c r="M7" s="11" t="s">
        <v>79</v>
      </c>
      <c r="N7" s="11" t="s">
        <v>87</v>
      </c>
      <c r="O7" s="11"/>
      <c r="P7" s="11"/>
      <c r="Q7" s="12"/>
      <c r="R7" s="11"/>
      <c r="S7" s="11"/>
      <c r="T7" s="13"/>
      <c r="U7" s="11" t="s">
        <v>4</v>
      </c>
      <c r="V7" s="11" t="s">
        <v>81</v>
      </c>
    </row>
    <row r="8" spans="1:22" x14ac:dyDescent="0.25">
      <c r="A8" s="11" t="s">
        <v>72</v>
      </c>
      <c r="B8" s="11" t="s">
        <v>42</v>
      </c>
      <c r="C8" s="11" t="s">
        <v>43</v>
      </c>
      <c r="D8" s="11" t="s">
        <v>73</v>
      </c>
      <c r="E8" s="11" t="s">
        <v>74</v>
      </c>
      <c r="F8" s="11" t="s">
        <v>88</v>
      </c>
      <c r="G8" s="11" t="s">
        <v>89</v>
      </c>
      <c r="H8" s="11" t="s">
        <v>48</v>
      </c>
      <c r="I8" s="11" t="s">
        <v>49</v>
      </c>
      <c r="J8" s="11" t="s">
        <v>90</v>
      </c>
      <c r="K8" s="11" t="s">
        <v>91</v>
      </c>
      <c r="L8" s="11" t="s">
        <v>59</v>
      </c>
      <c r="M8" s="11" t="s">
        <v>79</v>
      </c>
      <c r="N8" s="11" t="s">
        <v>92</v>
      </c>
      <c r="O8" s="11"/>
      <c r="P8" s="11"/>
      <c r="Q8" s="12"/>
      <c r="R8" s="11"/>
      <c r="S8" s="11"/>
      <c r="T8" s="13"/>
      <c r="U8" s="11" t="s">
        <v>4</v>
      </c>
      <c r="V8" s="11" t="s">
        <v>81</v>
      </c>
    </row>
    <row r="9" spans="1:22" x14ac:dyDescent="0.25">
      <c r="A9" s="11" t="s">
        <v>93</v>
      </c>
      <c r="B9" s="11" t="s">
        <v>42</v>
      </c>
      <c r="C9" s="11" t="s">
        <v>43</v>
      </c>
      <c r="D9" s="11" t="s">
        <v>94</v>
      </c>
      <c r="E9" s="11" t="s">
        <v>95</v>
      </c>
      <c r="F9" s="11" t="s">
        <v>96</v>
      </c>
      <c r="G9" s="11" t="s">
        <v>97</v>
      </c>
      <c r="H9" s="11" t="s">
        <v>84</v>
      </c>
      <c r="I9" s="11" t="s">
        <v>49</v>
      </c>
      <c r="J9" s="11" t="s">
        <v>98</v>
      </c>
      <c r="K9" s="11" t="s">
        <v>99</v>
      </c>
      <c r="L9" s="11" t="s">
        <v>59</v>
      </c>
      <c r="M9" s="11" t="s">
        <v>100</v>
      </c>
      <c r="N9" s="11" t="s">
        <v>101</v>
      </c>
      <c r="O9" s="11"/>
      <c r="P9" s="11"/>
      <c r="Q9" s="12"/>
      <c r="R9" s="11"/>
      <c r="S9" s="11"/>
      <c r="T9" s="13"/>
      <c r="U9" s="11" t="s">
        <v>4</v>
      </c>
      <c r="V9" s="11" t="s">
        <v>102</v>
      </c>
    </row>
    <row r="10" spans="1:22" x14ac:dyDescent="0.25">
      <c r="A10" s="11" t="s">
        <v>93</v>
      </c>
      <c r="B10" s="11" t="s">
        <v>42</v>
      </c>
      <c r="C10" s="11" t="s">
        <v>43</v>
      </c>
      <c r="D10" s="11" t="s">
        <v>94</v>
      </c>
      <c r="E10" s="11" t="s">
        <v>95</v>
      </c>
      <c r="F10" s="11" t="s">
        <v>103</v>
      </c>
      <c r="G10" s="11" t="s">
        <v>104</v>
      </c>
      <c r="H10" s="11" t="s">
        <v>84</v>
      </c>
      <c r="I10" s="11" t="s">
        <v>49</v>
      </c>
      <c r="J10" s="11" t="s">
        <v>105</v>
      </c>
      <c r="K10" s="11" t="s">
        <v>106</v>
      </c>
      <c r="L10" s="11" t="s">
        <v>59</v>
      </c>
      <c r="M10" s="11" t="s">
        <v>100</v>
      </c>
      <c r="N10" s="11" t="s">
        <v>107</v>
      </c>
      <c r="O10" s="11"/>
      <c r="P10" s="11"/>
      <c r="Q10" s="12"/>
      <c r="R10" s="11"/>
      <c r="S10" s="11"/>
      <c r="T10" s="13"/>
      <c r="U10" s="11" t="s">
        <v>4</v>
      </c>
      <c r="V10" s="11" t="s">
        <v>102</v>
      </c>
    </row>
    <row r="11" spans="1:22" x14ac:dyDescent="0.25">
      <c r="A11" s="11" t="s">
        <v>93</v>
      </c>
      <c r="B11" s="11" t="s">
        <v>42</v>
      </c>
      <c r="C11" s="11" t="s">
        <v>43</v>
      </c>
      <c r="D11" s="11" t="s">
        <v>94</v>
      </c>
      <c r="E11" s="11" t="s">
        <v>95</v>
      </c>
      <c r="F11" s="11" t="s">
        <v>108</v>
      </c>
      <c r="G11" s="11" t="s">
        <v>109</v>
      </c>
      <c r="H11" s="11" t="s">
        <v>84</v>
      </c>
      <c r="I11" s="11" t="s">
        <v>49</v>
      </c>
      <c r="J11" s="11" t="s">
        <v>110</v>
      </c>
      <c r="K11" s="11" t="s">
        <v>111</v>
      </c>
      <c r="L11" s="11" t="s">
        <v>59</v>
      </c>
      <c r="M11" s="11" t="s">
        <v>100</v>
      </c>
      <c r="N11" s="11" t="s">
        <v>112</v>
      </c>
      <c r="O11" s="11"/>
      <c r="P11" s="11"/>
      <c r="Q11" s="12"/>
      <c r="R11" s="11"/>
      <c r="S11" s="11"/>
      <c r="T11" s="13"/>
      <c r="U11" s="11" t="s">
        <v>4</v>
      </c>
      <c r="V11" s="11" t="s">
        <v>102</v>
      </c>
    </row>
    <row r="12" spans="1:22" x14ac:dyDescent="0.25">
      <c r="A12" s="11" t="s">
        <v>93</v>
      </c>
      <c r="B12" s="11" t="s">
        <v>42</v>
      </c>
      <c r="C12" s="11" t="s">
        <v>43</v>
      </c>
      <c r="D12" s="11" t="s">
        <v>94</v>
      </c>
      <c r="E12" s="11" t="s">
        <v>95</v>
      </c>
      <c r="F12" s="11" t="s">
        <v>113</v>
      </c>
      <c r="G12" s="11" t="s">
        <v>114</v>
      </c>
      <c r="H12" s="11" t="s">
        <v>84</v>
      </c>
      <c r="I12" s="11" t="s">
        <v>49</v>
      </c>
      <c r="J12" s="11" t="s">
        <v>115</v>
      </c>
      <c r="K12" s="11" t="s">
        <v>116</v>
      </c>
      <c r="L12" s="11" t="s">
        <v>59</v>
      </c>
      <c r="M12" s="11" t="s">
        <v>100</v>
      </c>
      <c r="N12" s="11" t="s">
        <v>117</v>
      </c>
      <c r="O12" s="11"/>
      <c r="P12" s="11"/>
      <c r="Q12" s="12"/>
      <c r="R12" s="11"/>
      <c r="S12" s="11"/>
      <c r="T12" s="13"/>
      <c r="U12" s="11" t="s">
        <v>4</v>
      </c>
      <c r="V12" s="11" t="s">
        <v>102</v>
      </c>
    </row>
    <row r="13" spans="1:22" x14ac:dyDescent="0.25">
      <c r="A13" s="11" t="s">
        <v>93</v>
      </c>
      <c r="B13" s="11" t="s">
        <v>42</v>
      </c>
      <c r="C13" s="11" t="s">
        <v>43</v>
      </c>
      <c r="D13" s="11" t="s">
        <v>94</v>
      </c>
      <c r="E13" s="11" t="s">
        <v>95</v>
      </c>
      <c r="F13" s="11" t="s">
        <v>118</v>
      </c>
      <c r="G13" s="11" t="s">
        <v>119</v>
      </c>
      <c r="H13" s="11" t="s">
        <v>84</v>
      </c>
      <c r="I13" s="11" t="s">
        <v>49</v>
      </c>
      <c r="J13" s="11" t="s">
        <v>120</v>
      </c>
      <c r="K13" s="11" t="s">
        <v>116</v>
      </c>
      <c r="L13" s="11" t="s">
        <v>59</v>
      </c>
      <c r="M13" s="11" t="s">
        <v>100</v>
      </c>
      <c r="N13" s="11" t="s">
        <v>121</v>
      </c>
      <c r="O13" s="11"/>
      <c r="P13" s="11"/>
      <c r="Q13" s="12"/>
      <c r="R13" s="11"/>
      <c r="S13" s="11"/>
      <c r="T13" s="13"/>
      <c r="U13" s="11" t="s">
        <v>4</v>
      </c>
      <c r="V13" s="11" t="s">
        <v>102</v>
      </c>
    </row>
    <row r="14" spans="1:22" x14ac:dyDescent="0.25">
      <c r="A14" s="11" t="s">
        <v>122</v>
      </c>
      <c r="B14" s="11" t="s">
        <v>42</v>
      </c>
      <c r="C14" s="11" t="s">
        <v>43</v>
      </c>
      <c r="D14" s="11" t="s">
        <v>123</v>
      </c>
      <c r="E14" s="11" t="s">
        <v>124</v>
      </c>
      <c r="F14" s="11" t="s">
        <v>125</v>
      </c>
      <c r="G14" s="11" t="s">
        <v>126</v>
      </c>
      <c r="H14" s="11" t="s">
        <v>84</v>
      </c>
      <c r="I14" s="11" t="s">
        <v>49</v>
      </c>
      <c r="J14" s="11" t="s">
        <v>127</v>
      </c>
      <c r="K14" s="11" t="s">
        <v>128</v>
      </c>
      <c r="L14" s="11" t="s">
        <v>59</v>
      </c>
      <c r="M14" s="11" t="s">
        <v>79</v>
      </c>
      <c r="N14" s="11" t="s">
        <v>129</v>
      </c>
      <c r="O14" s="11"/>
      <c r="P14" s="11"/>
      <c r="Q14" s="12"/>
      <c r="R14" s="11"/>
      <c r="S14" s="11"/>
      <c r="T14" s="13"/>
      <c r="U14" s="11" t="s">
        <v>4</v>
      </c>
      <c r="V14" s="11" t="s">
        <v>130</v>
      </c>
    </row>
    <row r="15" spans="1:22" x14ac:dyDescent="0.25">
      <c r="A15" s="11" t="s">
        <v>93</v>
      </c>
      <c r="B15" s="11" t="s">
        <v>42</v>
      </c>
      <c r="C15" s="11" t="s">
        <v>43</v>
      </c>
      <c r="D15" s="11" t="s">
        <v>94</v>
      </c>
      <c r="E15" s="11" t="s">
        <v>95</v>
      </c>
      <c r="F15" s="11" t="s">
        <v>131</v>
      </c>
      <c r="G15" s="11" t="s">
        <v>132</v>
      </c>
      <c r="H15" s="11" t="s">
        <v>84</v>
      </c>
      <c r="I15" s="11" t="s">
        <v>49</v>
      </c>
      <c r="J15" s="11" t="s">
        <v>133</v>
      </c>
      <c r="K15" s="11" t="s">
        <v>134</v>
      </c>
      <c r="L15" s="11" t="s">
        <v>59</v>
      </c>
      <c r="M15" s="11" t="s">
        <v>135</v>
      </c>
      <c r="N15" s="11" t="s">
        <v>136</v>
      </c>
      <c r="O15" s="11"/>
      <c r="P15" s="11"/>
      <c r="Q15" s="12"/>
      <c r="R15" s="11"/>
      <c r="S15" s="11"/>
      <c r="T15" s="13"/>
      <c r="U15" s="11" t="s">
        <v>4</v>
      </c>
      <c r="V15" s="11" t="s">
        <v>102</v>
      </c>
    </row>
    <row r="16" spans="1:22" x14ac:dyDescent="0.25">
      <c r="A16" s="11" t="s">
        <v>122</v>
      </c>
      <c r="B16" s="11" t="s">
        <v>42</v>
      </c>
      <c r="C16" s="11" t="s">
        <v>43</v>
      </c>
      <c r="D16" s="11" t="s">
        <v>123</v>
      </c>
      <c r="E16" s="11" t="s">
        <v>124</v>
      </c>
      <c r="F16" s="11" t="s">
        <v>137</v>
      </c>
      <c r="G16" s="11" t="s">
        <v>138</v>
      </c>
      <c r="H16" s="11" t="s">
        <v>84</v>
      </c>
      <c r="I16" s="11" t="s">
        <v>49</v>
      </c>
      <c r="J16" s="11" t="s">
        <v>139</v>
      </c>
      <c r="K16" s="11" t="s">
        <v>140</v>
      </c>
      <c r="L16" s="11" t="s">
        <v>59</v>
      </c>
      <c r="M16" s="11" t="s">
        <v>135</v>
      </c>
      <c r="N16" s="11" t="s">
        <v>141</v>
      </c>
      <c r="O16" s="11"/>
      <c r="P16" s="11"/>
      <c r="Q16" s="12"/>
      <c r="R16" s="11"/>
      <c r="S16" s="11"/>
      <c r="T16" s="13"/>
      <c r="U16" s="11" t="s">
        <v>4</v>
      </c>
      <c r="V16" s="11" t="s">
        <v>130</v>
      </c>
    </row>
    <row r="17" spans="1:22" x14ac:dyDescent="0.25">
      <c r="A17" s="11" t="s">
        <v>142</v>
      </c>
      <c r="B17" s="11" t="s">
        <v>42</v>
      </c>
      <c r="C17" s="11" t="s">
        <v>43</v>
      </c>
      <c r="D17" s="11" t="s">
        <v>143</v>
      </c>
      <c r="E17" s="11" t="s">
        <v>144</v>
      </c>
      <c r="F17" s="11" t="s">
        <v>145</v>
      </c>
      <c r="G17" s="11" t="s">
        <v>146</v>
      </c>
      <c r="H17" s="11" t="s">
        <v>84</v>
      </c>
      <c r="I17" s="11" t="s">
        <v>49</v>
      </c>
      <c r="J17" s="11" t="s">
        <v>147</v>
      </c>
      <c r="K17" s="11" t="s">
        <v>148</v>
      </c>
      <c r="L17" s="11" t="s">
        <v>52</v>
      </c>
      <c r="M17" s="11" t="s">
        <v>53</v>
      </c>
      <c r="N17" s="11" t="s">
        <v>149</v>
      </c>
      <c r="O17" s="11"/>
      <c r="P17" s="11"/>
      <c r="Q17" s="12"/>
      <c r="R17" s="11"/>
      <c r="S17" s="11"/>
      <c r="T17" s="13"/>
      <c r="U17" s="11" t="s">
        <v>4</v>
      </c>
      <c r="V17" s="11" t="s">
        <v>150</v>
      </c>
    </row>
    <row r="18" spans="1:22" x14ac:dyDescent="0.25">
      <c r="A18" s="11" t="s">
        <v>142</v>
      </c>
      <c r="B18" s="11" t="s">
        <v>42</v>
      </c>
      <c r="C18" s="11" t="s">
        <v>43</v>
      </c>
      <c r="D18" s="11" t="s">
        <v>143</v>
      </c>
      <c r="E18" s="11" t="s">
        <v>144</v>
      </c>
      <c r="F18" s="11" t="s">
        <v>151</v>
      </c>
      <c r="G18" s="11" t="s">
        <v>152</v>
      </c>
      <c r="H18" s="11" t="s">
        <v>84</v>
      </c>
      <c r="I18" s="11" t="s">
        <v>49</v>
      </c>
      <c r="J18" s="11" t="s">
        <v>153</v>
      </c>
      <c r="K18" s="11" t="s">
        <v>154</v>
      </c>
      <c r="L18" s="11" t="s">
        <v>59</v>
      </c>
      <c r="M18" s="11" t="s">
        <v>53</v>
      </c>
      <c r="N18" s="11" t="s">
        <v>155</v>
      </c>
      <c r="O18" s="11"/>
      <c r="P18" s="11"/>
      <c r="Q18" s="12"/>
      <c r="R18" s="11"/>
      <c r="S18" s="11"/>
      <c r="T18" s="13"/>
      <c r="U18" s="11" t="s">
        <v>4</v>
      </c>
      <c r="V18" s="11" t="s">
        <v>156</v>
      </c>
    </row>
    <row r="19" spans="1:22" x14ac:dyDescent="0.25">
      <c r="A19" s="11" t="s">
        <v>142</v>
      </c>
      <c r="B19" s="11" t="s">
        <v>42</v>
      </c>
      <c r="C19" s="11" t="s">
        <v>43</v>
      </c>
      <c r="D19" s="11" t="s">
        <v>143</v>
      </c>
      <c r="E19" s="11" t="s">
        <v>144</v>
      </c>
      <c r="F19" s="11" t="s">
        <v>157</v>
      </c>
      <c r="G19" s="11" t="s">
        <v>158</v>
      </c>
      <c r="H19" s="11" t="s">
        <v>84</v>
      </c>
      <c r="I19" s="11" t="s">
        <v>49</v>
      </c>
      <c r="J19" s="11" t="s">
        <v>159</v>
      </c>
      <c r="K19" s="11" t="s">
        <v>148</v>
      </c>
      <c r="L19" s="11" t="s">
        <v>59</v>
      </c>
      <c r="M19" s="11" t="s">
        <v>53</v>
      </c>
      <c r="N19" s="11" t="s">
        <v>160</v>
      </c>
      <c r="O19" s="11"/>
      <c r="P19" s="11"/>
      <c r="Q19" s="12"/>
      <c r="R19" s="11"/>
      <c r="S19" s="11"/>
      <c r="T19" s="13"/>
      <c r="U19" s="11" t="s">
        <v>4</v>
      </c>
      <c r="V19" s="11" t="s">
        <v>156</v>
      </c>
    </row>
    <row r="20" spans="1:22" x14ac:dyDescent="0.25">
      <c r="A20" s="11" t="s">
        <v>142</v>
      </c>
      <c r="B20" s="11" t="s">
        <v>42</v>
      </c>
      <c r="C20" s="11" t="s">
        <v>43</v>
      </c>
      <c r="D20" s="11" t="s">
        <v>143</v>
      </c>
      <c r="E20" s="11" t="s">
        <v>144</v>
      </c>
      <c r="F20" s="11" t="s">
        <v>161</v>
      </c>
      <c r="G20" s="11" t="s">
        <v>162</v>
      </c>
      <c r="H20" s="11" t="s">
        <v>84</v>
      </c>
      <c r="I20" s="11" t="s">
        <v>49</v>
      </c>
      <c r="J20" s="11" t="s">
        <v>163</v>
      </c>
      <c r="K20" s="11" t="s">
        <v>148</v>
      </c>
      <c r="L20" s="11" t="s">
        <v>59</v>
      </c>
      <c r="M20" s="11" t="s">
        <v>53</v>
      </c>
      <c r="N20" s="11" t="s">
        <v>164</v>
      </c>
      <c r="O20" s="11"/>
      <c r="P20" s="11"/>
      <c r="Q20" s="12"/>
      <c r="R20" s="11"/>
      <c r="S20" s="11"/>
      <c r="T20" s="13"/>
      <c r="U20" s="11" t="s">
        <v>4</v>
      </c>
      <c r="V20" s="11" t="s">
        <v>156</v>
      </c>
    </row>
    <row r="21" spans="1:22" x14ac:dyDescent="0.25">
      <c r="A21" s="11" t="s">
        <v>165</v>
      </c>
      <c r="B21" s="11" t="s">
        <v>42</v>
      </c>
      <c r="C21" s="11" t="s">
        <v>43</v>
      </c>
      <c r="D21" s="11" t="s">
        <v>166</v>
      </c>
      <c r="E21" s="11" t="s">
        <v>167</v>
      </c>
      <c r="F21" s="11" t="s">
        <v>168</v>
      </c>
      <c r="G21" s="11" t="s">
        <v>169</v>
      </c>
      <c r="H21" s="11" t="s">
        <v>48</v>
      </c>
      <c r="I21" s="11" t="s">
        <v>49</v>
      </c>
      <c r="J21" s="11" t="s">
        <v>170</v>
      </c>
      <c r="K21" s="11" t="s">
        <v>51</v>
      </c>
      <c r="L21" s="11" t="s">
        <v>59</v>
      </c>
      <c r="M21" s="11" t="s">
        <v>53</v>
      </c>
      <c r="N21" s="11" t="s">
        <v>171</v>
      </c>
      <c r="O21" s="11"/>
      <c r="P21" s="11"/>
      <c r="Q21" s="12"/>
      <c r="R21" s="11"/>
      <c r="S21" s="11"/>
      <c r="T21" s="13"/>
      <c r="U21" s="11" t="s">
        <v>4</v>
      </c>
      <c r="V21" s="11" t="s">
        <v>172</v>
      </c>
    </row>
    <row r="22" spans="1:22" x14ac:dyDescent="0.25">
      <c r="A22" s="11" t="s">
        <v>165</v>
      </c>
      <c r="B22" s="11" t="s">
        <v>42</v>
      </c>
      <c r="C22" s="11" t="s">
        <v>43</v>
      </c>
      <c r="D22" s="11" t="s">
        <v>166</v>
      </c>
      <c r="E22" s="11" t="s">
        <v>167</v>
      </c>
      <c r="F22" s="11" t="s">
        <v>173</v>
      </c>
      <c r="G22" s="11" t="s">
        <v>174</v>
      </c>
      <c r="H22" s="11" t="s">
        <v>48</v>
      </c>
      <c r="I22" s="11" t="s">
        <v>49</v>
      </c>
      <c r="J22" s="11" t="s">
        <v>175</v>
      </c>
      <c r="K22" s="11" t="s">
        <v>51</v>
      </c>
      <c r="L22" s="11" t="s">
        <v>59</v>
      </c>
      <c r="M22" s="11" t="s">
        <v>53</v>
      </c>
      <c r="N22" s="11" t="s">
        <v>176</v>
      </c>
      <c r="O22" s="11"/>
      <c r="P22" s="11"/>
      <c r="Q22" s="12"/>
      <c r="R22" s="11"/>
      <c r="S22" s="11"/>
      <c r="T22" s="13"/>
      <c r="U22" s="11" t="s">
        <v>4</v>
      </c>
      <c r="V22" s="11" t="s">
        <v>172</v>
      </c>
    </row>
    <row r="23" spans="1:22" x14ac:dyDescent="0.25">
      <c r="A23" s="11" t="s">
        <v>177</v>
      </c>
      <c r="B23" s="11" t="s">
        <v>42</v>
      </c>
      <c r="C23" s="11" t="s">
        <v>43</v>
      </c>
      <c r="D23" s="11" t="s">
        <v>178</v>
      </c>
      <c r="E23" s="11" t="s">
        <v>179</v>
      </c>
      <c r="F23" s="11" t="s">
        <v>180</v>
      </c>
      <c r="G23" s="11" t="s">
        <v>181</v>
      </c>
      <c r="H23" s="11" t="s">
        <v>48</v>
      </c>
      <c r="I23" s="11" t="s">
        <v>49</v>
      </c>
      <c r="J23" s="11" t="s">
        <v>182</v>
      </c>
      <c r="K23" s="11" t="s">
        <v>51</v>
      </c>
      <c r="L23" s="11" t="s">
        <v>59</v>
      </c>
      <c r="M23" s="11" t="s">
        <v>53</v>
      </c>
      <c r="N23" s="11" t="s">
        <v>183</v>
      </c>
      <c r="O23" s="11"/>
      <c r="P23" s="11"/>
      <c r="Q23" s="12"/>
      <c r="R23" s="11"/>
      <c r="S23" s="11"/>
      <c r="T23" s="13"/>
      <c r="U23" s="11" t="s">
        <v>4</v>
      </c>
      <c r="V23" s="11" t="s">
        <v>172</v>
      </c>
    </row>
    <row r="24" spans="1:22" x14ac:dyDescent="0.25">
      <c r="A24" s="11" t="s">
        <v>177</v>
      </c>
      <c r="B24" s="11" t="s">
        <v>42</v>
      </c>
      <c r="C24" s="11" t="s">
        <v>43</v>
      </c>
      <c r="D24" s="11" t="s">
        <v>178</v>
      </c>
      <c r="E24" s="11" t="s">
        <v>179</v>
      </c>
      <c r="F24" s="11" t="s">
        <v>184</v>
      </c>
      <c r="G24" s="11" t="s">
        <v>185</v>
      </c>
      <c r="H24" s="11" t="s">
        <v>48</v>
      </c>
      <c r="I24" s="11" t="s">
        <v>49</v>
      </c>
      <c r="J24" s="11" t="s">
        <v>186</v>
      </c>
      <c r="K24" s="11" t="s">
        <v>51</v>
      </c>
      <c r="L24" s="11" t="s">
        <v>59</v>
      </c>
      <c r="M24" s="11" t="s">
        <v>53</v>
      </c>
      <c r="N24" s="11" t="s">
        <v>187</v>
      </c>
      <c r="O24" s="11"/>
      <c r="P24" s="11"/>
      <c r="Q24" s="12"/>
      <c r="R24" s="11"/>
      <c r="S24" s="11"/>
      <c r="T24" s="13"/>
      <c r="U24" s="11" t="s">
        <v>4</v>
      </c>
      <c r="V24" s="11" t="s">
        <v>172</v>
      </c>
    </row>
    <row r="25" spans="1:22" x14ac:dyDescent="0.25">
      <c r="A25" s="11" t="s">
        <v>188</v>
      </c>
      <c r="B25" s="11" t="s">
        <v>42</v>
      </c>
      <c r="C25" s="11" t="s">
        <v>43</v>
      </c>
      <c r="D25" s="11" t="s">
        <v>189</v>
      </c>
      <c r="E25" s="11" t="s">
        <v>190</v>
      </c>
      <c r="F25" s="11" t="s">
        <v>191</v>
      </c>
      <c r="G25" s="11" t="s">
        <v>192</v>
      </c>
      <c r="H25" s="11" t="s">
        <v>193</v>
      </c>
      <c r="I25" s="11" t="s">
        <v>49</v>
      </c>
      <c r="J25" s="11" t="s">
        <v>194</v>
      </c>
      <c r="K25" s="11" t="s">
        <v>51</v>
      </c>
      <c r="L25" s="11" t="s">
        <v>59</v>
      </c>
      <c r="M25" s="11" t="s">
        <v>195</v>
      </c>
      <c r="N25" s="11" t="s">
        <v>196</v>
      </c>
      <c r="O25" s="11"/>
      <c r="P25" s="11"/>
      <c r="Q25" s="12"/>
      <c r="R25" s="11"/>
      <c r="S25" s="11"/>
      <c r="T25" s="13"/>
      <c r="U25" s="11" t="s">
        <v>4</v>
      </c>
      <c r="V25" s="11" t="s">
        <v>197</v>
      </c>
    </row>
    <row r="26" spans="12:21" x14ac:dyDescent="0.25"/>
    <row r="27" spans="12:21" x14ac:dyDescent="0.25"/>
    <row r="28" spans="12:21" x14ac:dyDescent="0.25"/>
    <row r="29" spans="12:21" x14ac:dyDescent="0.25"/>
    <row r="30" spans="12:21" x14ac:dyDescent="0.25"/>
    <row r="31" spans="12:21" x14ac:dyDescent="0.25"/>
    <row r="32" spans="12:21" x14ac:dyDescent="0.25"/>
    <row r="33" spans="12:21" x14ac:dyDescent="0.25"/>
    <row r="34" spans="12:21" x14ac:dyDescent="0.25"/>
    <row r="35" spans="12:21" x14ac:dyDescent="0.25"/>
    <row r="36" spans="12:21" x14ac:dyDescent="0.25"/>
    <row r="37" spans="12:21" x14ac:dyDescent="0.25"/>
    <row r="38" spans="12:21" x14ac:dyDescent="0.25"/>
    <row r="39" spans="12:21" x14ac:dyDescent="0.25"/>
    <row r="40" spans="12:21" x14ac:dyDescent="0.25"/>
    <row r="41" spans="12:21" x14ac:dyDescent="0.25"/>
    <row r="42" spans="12:21" x14ac:dyDescent="0.25"/>
    <row r="43" spans="12:21" x14ac:dyDescent="0.25"/>
    <row r="44" spans="12:21" x14ac:dyDescent="0.25"/>
    <row r="45" spans="12:21" x14ac:dyDescent="0.25"/>
    <row r="46" spans="12:21" x14ac:dyDescent="0.25"/>
    <row r="47" spans="12:21" x14ac:dyDescent="0.25"/>
    <row r="48" spans="12:21" x14ac:dyDescent="0.25"/>
    <row r="49" spans="12:21" x14ac:dyDescent="0.25"/>
    <row r="50" spans="12:21" x14ac:dyDescent="0.25"/>
    <row r="51" spans="12:21" x14ac:dyDescent="0.25"/>
    <row r="52" spans="12:21" x14ac:dyDescent="0.25"/>
    <row r="53" spans="12:21" x14ac:dyDescent="0.25"/>
    <row r="54" spans="12:21" x14ac:dyDescent="0.25"/>
    <row r="55" spans="12:21" x14ac:dyDescent="0.25"/>
    <row r="56" spans="12:21" x14ac:dyDescent="0.25"/>
    <row r="57" spans="12:21" x14ac:dyDescent="0.25"/>
    <row r="58" spans="12:21" x14ac:dyDescent="0.25"/>
    <row r="59" spans="12:21" x14ac:dyDescent="0.25"/>
    <row r="60" spans="12:21" x14ac:dyDescent="0.25"/>
    <row r="61" spans="12:21" x14ac:dyDescent="0.25"/>
    <row r="62" spans="12:21" x14ac:dyDescent="0.25"/>
    <row r="63" spans="12:21" x14ac:dyDescent="0.25"/>
    <row r="64" spans="12:21" x14ac:dyDescent="0.25"/>
    <row r="65" spans="12:21" x14ac:dyDescent="0.25"/>
    <row r="66" spans="12:21" x14ac:dyDescent="0.25"/>
    <row r="67" spans="12:21" x14ac:dyDescent="0.25"/>
    <row r="68" spans="12:21" x14ac:dyDescent="0.25"/>
    <row r="69" spans="12:21" x14ac:dyDescent="0.25"/>
    <row r="70" spans="12:21" x14ac:dyDescent="0.25"/>
    <row r="71" spans="12:21" x14ac:dyDescent="0.25"/>
    <row r="72" spans="12:21" x14ac:dyDescent="0.25"/>
    <row r="73" spans="12:21" x14ac:dyDescent="0.25"/>
    <row r="74" spans="12:21" x14ac:dyDescent="0.25"/>
    <row r="75" spans="12:21" x14ac:dyDescent="0.25"/>
  </sheetData>
  <autoFilter ref="A1:V75"/>
  <conditionalFormatting sqref="Q2:Q75">
    <cfRule type="cellIs" dxfId="0" priority="1" operator="equal">
      <formula>"PASS"</formula>
    </cfRule>
    <cfRule type="cellIs" dxfId="1" priority="2" operator="equal">
      <formula>"FAIL"</formula>
    </cfRule>
  </conditionalFormatting>
  <dataValidations count="8">
    <dataValidation type="list" allowBlank="1" sqref="L10:L75">
      <formula1>"Smoke,Functional,Regression,UAT,API"</formula1>
    </dataValidation>
    <dataValidation type="list" allowBlank="1" sqref="L2:L75">
      <formula1>"Smoke,Functional,Regression,UAT,API"</formula1>
    </dataValidation>
    <dataValidation type="list" allowBlank="1" sqref="M10:M75">
      <formula1>"Positive,Negative,Boundary Value,Equivalence Partitioning,Error Handling,Validation"</formula1>
    </dataValidation>
    <dataValidation type="list" allowBlank="1" sqref="M2:M75">
      <formula1>"Positive,Negative,Boundary Value,Equivalence Partitioning,Error Handling,Validation"</formula1>
    </dataValidation>
    <dataValidation type="list" allowBlank="1" sqref="Q10:Q75">
      <formula1>"PASS,FAIL"</formula1>
    </dataValidation>
    <dataValidation type="list" allowBlank="1" sqref="Q2:Q75">
      <formula1>"PASS,FAIL"</formula1>
    </dataValidation>
    <dataValidation type="list" allowBlank="1" sqref="U10:U75">
      <formula1>"Manual,Automation,Removed"</formula1>
    </dataValidation>
    <dataValidation type="list" allowBlank="1" sqref="U2:U75">
      <formula1>"Manual,Automation,Removed"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0"/>
  <sheetViews>
    <sheetView workbookViewId="0">
      <pane xSplit="7" ySplit="1" topLeftCell="H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3" width="16" customWidth="1"/>
    <col min="4" max="4" width="13" customWidth="1"/>
    <col min="5" max="5" width="30" customWidth="1"/>
    <col min="6" max="6" width="12" customWidth="1"/>
    <col min="7" max="8" width="34" customWidth="1"/>
    <col min="9" max="9" width="26" customWidth="1"/>
    <col min="10" max="10" width="48" customWidth="1"/>
    <col min="11" max="11" width="34" customWidth="1"/>
    <col min="12" max="12" width="16" customWidth="1"/>
    <col min="13" max="13" width="20" customWidth="1"/>
    <col min="14" max="15" width="40" customWidth="1"/>
    <col min="16" max="16" width="34" customWidth="1"/>
    <col min="17" max="17" width="11" customWidth="1"/>
    <col min="18" max="18" width="10" customWidth="1"/>
    <col min="19" max="19" width="18" customWidth="1"/>
    <col min="20" max="21" width="14" customWidth="1"/>
    <col min="22" max="22" width="48" customWidth="1"/>
  </cols>
  <sheetData>
    <row r="1" ht="62" customHeight="1" spans="1:22" x14ac:dyDescent="0.25">
      <c r="A1" s="10" t="s">
        <v>19</v>
      </c>
      <c r="B1" s="10" t="s">
        <v>20</v>
      </c>
      <c r="C1" s="10" t="s">
        <v>21</v>
      </c>
      <c r="D1" s="10" t="s">
        <v>22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29</v>
      </c>
      <c r="L1" s="10" t="s">
        <v>30</v>
      </c>
      <c r="M1" s="10" t="s">
        <v>31</v>
      </c>
      <c r="N1" s="10" t="s">
        <v>32</v>
      </c>
      <c r="O1" s="10" t="s">
        <v>33</v>
      </c>
      <c r="P1" s="10" t="s">
        <v>34</v>
      </c>
      <c r="Q1" s="10" t="s">
        <v>35</v>
      </c>
      <c r="R1" s="10" t="s">
        <v>36</v>
      </c>
      <c r="S1" s="10" t="s">
        <v>37</v>
      </c>
      <c r="T1" s="10" t="s">
        <v>38</v>
      </c>
      <c r="U1" s="10" t="s">
        <v>39</v>
      </c>
      <c r="V1" s="10" t="s">
        <v>40</v>
      </c>
    </row>
    <row r="2" spans="1:22" x14ac:dyDescent="0.25">
      <c r="A2" s="11" t="s">
        <v>198</v>
      </c>
      <c r="B2" s="11" t="s">
        <v>199</v>
      </c>
      <c r="C2" s="11" t="s">
        <v>200</v>
      </c>
      <c r="D2" s="11" t="s">
        <v>201</v>
      </c>
      <c r="E2" s="11" t="s">
        <v>202</v>
      </c>
      <c r="F2" s="11" t="s">
        <v>203</v>
      </c>
      <c r="G2" s="11" t="s">
        <v>204</v>
      </c>
      <c r="H2" s="11" t="s">
        <v>205</v>
      </c>
      <c r="I2" s="11" t="s">
        <v>206</v>
      </c>
      <c r="J2" s="11" t="s">
        <v>207</v>
      </c>
      <c r="K2" s="11" t="s">
        <v>208</v>
      </c>
      <c r="L2" s="11" t="s">
        <v>52</v>
      </c>
      <c r="M2" s="11" t="s">
        <v>53</v>
      </c>
      <c r="N2" s="11" t="s">
        <v>209</v>
      </c>
      <c r="O2" s="11" t="s">
        <v>210</v>
      </c>
      <c r="P2" s="14" t="s">
        <v>211</v>
      </c>
      <c r="Q2" s="12" t="s">
        <v>7</v>
      </c>
      <c r="R2" s="11">
        <v>3</v>
      </c>
      <c r="S2" s="11" t="s">
        <v>212</v>
      </c>
      <c r="T2" s="13">
        <v>46325.48961690972</v>
      </c>
      <c r="U2" s="11" t="s">
        <v>4</v>
      </c>
      <c r="V2" s="11" t="s">
        <v>213</v>
      </c>
    </row>
    <row r="3" spans="1:22" x14ac:dyDescent="0.25">
      <c r="A3" s="11" t="s">
        <v>198</v>
      </c>
      <c r="B3" s="11" t="s">
        <v>199</v>
      </c>
      <c r="C3" s="11" t="s">
        <v>200</v>
      </c>
      <c r="D3" s="11" t="s">
        <v>201</v>
      </c>
      <c r="E3" s="11" t="s">
        <v>202</v>
      </c>
      <c r="F3" s="11" t="s">
        <v>214</v>
      </c>
      <c r="G3" s="11" t="s">
        <v>215</v>
      </c>
      <c r="H3" s="11" t="s">
        <v>216</v>
      </c>
      <c r="I3" s="11" t="s">
        <v>206</v>
      </c>
      <c r="J3" s="11" t="s">
        <v>217</v>
      </c>
      <c r="K3" s="11" t="s">
        <v>208</v>
      </c>
      <c r="L3" s="11" t="s">
        <v>59</v>
      </c>
      <c r="M3" s="11" t="s">
        <v>53</v>
      </c>
      <c r="N3" s="11" t="s">
        <v>218</v>
      </c>
      <c r="O3" s="11" t="s">
        <v>219</v>
      </c>
      <c r="P3" s="14" t="s">
        <v>220</v>
      </c>
      <c r="Q3" s="12" t="s">
        <v>7</v>
      </c>
      <c r="R3" s="11">
        <v>2</v>
      </c>
      <c r="S3" s="11" t="s">
        <v>212</v>
      </c>
      <c r="T3" s="13">
        <v>46325.48961690972</v>
      </c>
      <c r="U3" s="11" t="s">
        <v>4</v>
      </c>
      <c r="V3" s="11" t="s">
        <v>221</v>
      </c>
    </row>
    <row r="4" spans="1:22" x14ac:dyDescent="0.25">
      <c r="A4" s="11" t="s">
        <v>198</v>
      </c>
      <c r="B4" s="11" t="s">
        <v>199</v>
      </c>
      <c r="C4" s="11" t="s">
        <v>200</v>
      </c>
      <c r="D4" s="11" t="s">
        <v>201</v>
      </c>
      <c r="E4" s="11" t="s">
        <v>202</v>
      </c>
      <c r="F4" s="11" t="s">
        <v>222</v>
      </c>
      <c r="G4" s="11" t="s">
        <v>223</v>
      </c>
      <c r="H4" s="11" t="s">
        <v>216</v>
      </c>
      <c r="I4" s="11" t="s">
        <v>206</v>
      </c>
      <c r="J4" s="11" t="s">
        <v>224</v>
      </c>
      <c r="K4" s="11" t="s">
        <v>208</v>
      </c>
      <c r="L4" s="11" t="s">
        <v>59</v>
      </c>
      <c r="M4" s="11" t="s">
        <v>53</v>
      </c>
      <c r="N4" s="11" t="s">
        <v>225</v>
      </c>
      <c r="O4" s="11" t="s">
        <v>226</v>
      </c>
      <c r="P4" s="14" t="s">
        <v>227</v>
      </c>
      <c r="Q4" s="12" t="s">
        <v>7</v>
      </c>
      <c r="R4" s="11">
        <v>2</v>
      </c>
      <c r="S4" s="11" t="s">
        <v>212</v>
      </c>
      <c r="T4" s="13">
        <v>46325.48961690972</v>
      </c>
      <c r="U4" s="11" t="s">
        <v>4</v>
      </c>
      <c r="V4" s="11" t="s">
        <v>221</v>
      </c>
    </row>
    <row r="5" spans="1:22" x14ac:dyDescent="0.25">
      <c r="A5" s="11" t="s">
        <v>198</v>
      </c>
      <c r="B5" s="11" t="s">
        <v>199</v>
      </c>
      <c r="C5" s="11" t="s">
        <v>200</v>
      </c>
      <c r="D5" s="11" t="s">
        <v>228</v>
      </c>
      <c r="E5" s="11" t="s">
        <v>229</v>
      </c>
      <c r="F5" s="11" t="s">
        <v>230</v>
      </c>
      <c r="G5" s="11" t="s">
        <v>231</v>
      </c>
      <c r="H5" s="11" t="s">
        <v>216</v>
      </c>
      <c r="I5" s="11" t="s">
        <v>206</v>
      </c>
      <c r="J5" s="11" t="s">
        <v>232</v>
      </c>
      <c r="K5" s="11" t="s">
        <v>208</v>
      </c>
      <c r="L5" s="11" t="s">
        <v>59</v>
      </c>
      <c r="M5" s="11" t="s">
        <v>66</v>
      </c>
      <c r="N5" s="11" t="s">
        <v>233</v>
      </c>
      <c r="O5" s="11" t="s">
        <v>234</v>
      </c>
      <c r="P5" s="14" t="s">
        <v>235</v>
      </c>
      <c r="Q5" s="12" t="s">
        <v>7</v>
      </c>
      <c r="R5" s="11">
        <v>2</v>
      </c>
      <c r="S5" s="11" t="s">
        <v>212</v>
      </c>
      <c r="T5" s="13">
        <v>46325.48961690972</v>
      </c>
      <c r="U5" s="11" t="s">
        <v>4</v>
      </c>
      <c r="V5" s="11" t="s">
        <v>221</v>
      </c>
    </row>
    <row r="6" spans="1:22" x14ac:dyDescent="0.25">
      <c r="A6" s="11" t="s">
        <v>198</v>
      </c>
      <c r="B6" s="11" t="s">
        <v>199</v>
      </c>
      <c r="C6" s="11" t="s">
        <v>200</v>
      </c>
      <c r="D6" s="11" t="s">
        <v>228</v>
      </c>
      <c r="E6" s="11" t="s">
        <v>229</v>
      </c>
      <c r="F6" s="11" t="s">
        <v>236</v>
      </c>
      <c r="G6" s="11" t="s">
        <v>237</v>
      </c>
      <c r="H6" s="11" t="s">
        <v>216</v>
      </c>
      <c r="I6" s="11" t="s">
        <v>206</v>
      </c>
      <c r="J6" s="11" t="s">
        <v>238</v>
      </c>
      <c r="K6" s="11" t="s">
        <v>208</v>
      </c>
      <c r="L6" s="11" t="s">
        <v>59</v>
      </c>
      <c r="M6" s="11" t="s">
        <v>66</v>
      </c>
      <c r="N6" s="11" t="s">
        <v>239</v>
      </c>
      <c r="O6" s="11" t="s">
        <v>240</v>
      </c>
      <c r="P6" s="14" t="s">
        <v>241</v>
      </c>
      <c r="Q6" s="12" t="s">
        <v>7</v>
      </c>
      <c r="R6" s="11">
        <v>2</v>
      </c>
      <c r="S6" s="11" t="s">
        <v>212</v>
      </c>
      <c r="T6" s="13">
        <v>46325.48961690972</v>
      </c>
      <c r="U6" s="11" t="s">
        <v>4</v>
      </c>
      <c r="V6" s="11" t="s">
        <v>242</v>
      </c>
    </row>
    <row r="7" spans="1:22" x14ac:dyDescent="0.25">
      <c r="A7" s="11" t="s">
        <v>198</v>
      </c>
      <c r="B7" s="11" t="s">
        <v>199</v>
      </c>
      <c r="C7" s="11" t="s">
        <v>200</v>
      </c>
      <c r="D7" s="11" t="s">
        <v>228</v>
      </c>
      <c r="E7" s="11" t="s">
        <v>229</v>
      </c>
      <c r="F7" s="11" t="s">
        <v>243</v>
      </c>
      <c r="G7" s="11" t="s">
        <v>244</v>
      </c>
      <c r="H7" s="11" t="s">
        <v>216</v>
      </c>
      <c r="I7" s="11" t="s">
        <v>206</v>
      </c>
      <c r="J7" s="11" t="s">
        <v>245</v>
      </c>
      <c r="K7" s="11" t="s">
        <v>208</v>
      </c>
      <c r="L7" s="11" t="s">
        <v>59</v>
      </c>
      <c r="M7" s="11" t="s">
        <v>53</v>
      </c>
      <c r="N7" s="11" t="s">
        <v>246</v>
      </c>
      <c r="O7" s="11" t="s">
        <v>247</v>
      </c>
      <c r="P7" s="14" t="s">
        <v>248</v>
      </c>
      <c r="Q7" s="12" t="s">
        <v>7</v>
      </c>
      <c r="R7" s="11">
        <v>2</v>
      </c>
      <c r="S7" s="11" t="s">
        <v>212</v>
      </c>
      <c r="T7" s="13">
        <v>46325.48961690972</v>
      </c>
      <c r="U7" s="11" t="s">
        <v>4</v>
      </c>
      <c r="V7" s="11" t="s">
        <v>221</v>
      </c>
    </row>
    <row r="8" spans="1:22" x14ac:dyDescent="0.25">
      <c r="A8" s="11" t="s">
        <v>198</v>
      </c>
      <c r="B8" s="11" t="s">
        <v>199</v>
      </c>
      <c r="C8" s="11" t="s">
        <v>200</v>
      </c>
      <c r="D8" s="11" t="s">
        <v>228</v>
      </c>
      <c r="E8" s="11" t="s">
        <v>229</v>
      </c>
      <c r="F8" s="11" t="s">
        <v>249</v>
      </c>
      <c r="G8" s="11" t="s">
        <v>250</v>
      </c>
      <c r="H8" s="11" t="s">
        <v>216</v>
      </c>
      <c r="I8" s="11" t="s">
        <v>206</v>
      </c>
      <c r="J8" s="11" t="s">
        <v>251</v>
      </c>
      <c r="K8" s="11" t="s">
        <v>208</v>
      </c>
      <c r="L8" s="11" t="s">
        <v>59</v>
      </c>
      <c r="M8" s="11" t="s">
        <v>53</v>
      </c>
      <c r="N8" s="11" t="s">
        <v>252</v>
      </c>
      <c r="O8" s="11" t="s">
        <v>253</v>
      </c>
      <c r="P8" s="14" t="s">
        <v>254</v>
      </c>
      <c r="Q8" s="12" t="s">
        <v>7</v>
      </c>
      <c r="R8" s="11">
        <v>2</v>
      </c>
      <c r="S8" s="11" t="s">
        <v>212</v>
      </c>
      <c r="T8" s="13">
        <v>46325.48961690972</v>
      </c>
      <c r="U8" s="11" t="s">
        <v>4</v>
      </c>
      <c r="V8" s="11" t="s">
        <v>221</v>
      </c>
    </row>
    <row r="9" spans="1:22" x14ac:dyDescent="0.25">
      <c r="A9" s="11" t="s">
        <v>198</v>
      </c>
      <c r="B9" s="11" t="s">
        <v>199</v>
      </c>
      <c r="C9" s="11" t="s">
        <v>200</v>
      </c>
      <c r="D9" s="11" t="s">
        <v>255</v>
      </c>
      <c r="E9" s="11" t="s">
        <v>256</v>
      </c>
      <c r="F9" s="11" t="s">
        <v>257</v>
      </c>
      <c r="G9" s="11" t="s">
        <v>258</v>
      </c>
      <c r="H9" s="11" t="s">
        <v>216</v>
      </c>
      <c r="I9" s="11" t="s">
        <v>206</v>
      </c>
      <c r="J9" s="11" t="s">
        <v>259</v>
      </c>
      <c r="K9" s="11" t="s">
        <v>260</v>
      </c>
      <c r="L9" s="11" t="s">
        <v>59</v>
      </c>
      <c r="M9" s="11" t="s">
        <v>66</v>
      </c>
      <c r="N9" s="11" t="s">
        <v>261</v>
      </c>
      <c r="O9" s="11" t="s">
        <v>262</v>
      </c>
      <c r="P9" s="14" t="s">
        <v>263</v>
      </c>
      <c r="Q9" s="12" t="s">
        <v>7</v>
      </c>
      <c r="R9" s="11">
        <v>2</v>
      </c>
      <c r="S9" s="11" t="s">
        <v>212</v>
      </c>
      <c r="T9" s="13">
        <v>46325.48961690972</v>
      </c>
      <c r="U9" s="11" t="s">
        <v>4</v>
      </c>
      <c r="V9" s="11" t="s">
        <v>264</v>
      </c>
    </row>
    <row r="10" spans="1:22" x14ac:dyDescent="0.25">
      <c r="A10" s="11" t="s">
        <v>198</v>
      </c>
      <c r="B10" s="11" t="s">
        <v>199</v>
      </c>
      <c r="C10" s="11" t="s">
        <v>200</v>
      </c>
      <c r="D10" s="11" t="s">
        <v>255</v>
      </c>
      <c r="E10" s="11" t="s">
        <v>256</v>
      </c>
      <c r="F10" s="11" t="s">
        <v>265</v>
      </c>
      <c r="G10" s="11" t="s">
        <v>266</v>
      </c>
      <c r="H10" s="11" t="s">
        <v>216</v>
      </c>
      <c r="I10" s="11" t="s">
        <v>206</v>
      </c>
      <c r="J10" s="11" t="s">
        <v>267</v>
      </c>
      <c r="K10" s="11" t="s">
        <v>268</v>
      </c>
      <c r="L10" s="11" t="s">
        <v>59</v>
      </c>
      <c r="M10" s="11" t="s">
        <v>53</v>
      </c>
      <c r="N10" s="11" t="s">
        <v>269</v>
      </c>
      <c r="O10" s="11" t="s">
        <v>270</v>
      </c>
      <c r="P10" s="14" t="s">
        <v>227</v>
      </c>
      <c r="Q10" s="12" t="s">
        <v>7</v>
      </c>
      <c r="R10" s="11">
        <v>2</v>
      </c>
      <c r="S10" s="11" t="s">
        <v>212</v>
      </c>
      <c r="T10" s="13">
        <v>46325.48961690972</v>
      </c>
      <c r="U10" s="11" t="s">
        <v>4</v>
      </c>
      <c r="V10" s="11" t="s">
        <v>264</v>
      </c>
    </row>
    <row r="11" spans="1:22" x14ac:dyDescent="0.25">
      <c r="A11" s="11" t="s">
        <v>198</v>
      </c>
      <c r="B11" s="11" t="s">
        <v>199</v>
      </c>
      <c r="C11" s="11" t="s">
        <v>200</v>
      </c>
      <c r="D11" s="11" t="s">
        <v>255</v>
      </c>
      <c r="E11" s="11" t="s">
        <v>256</v>
      </c>
      <c r="F11" s="11" t="s">
        <v>271</v>
      </c>
      <c r="G11" s="11" t="s">
        <v>272</v>
      </c>
      <c r="H11" s="11" t="s">
        <v>216</v>
      </c>
      <c r="I11" s="11" t="s">
        <v>206</v>
      </c>
      <c r="J11" s="11" t="s">
        <v>273</v>
      </c>
      <c r="K11" s="11" t="s">
        <v>274</v>
      </c>
      <c r="L11" s="11" t="s">
        <v>59</v>
      </c>
      <c r="M11" s="11" t="s">
        <v>79</v>
      </c>
      <c r="N11" s="11" t="s">
        <v>275</v>
      </c>
      <c r="O11" s="11" t="s">
        <v>276</v>
      </c>
      <c r="P11" s="14" t="s">
        <v>277</v>
      </c>
      <c r="Q11" s="12" t="s">
        <v>7</v>
      </c>
      <c r="R11" s="11">
        <v>2</v>
      </c>
      <c r="S11" s="11" t="s">
        <v>212</v>
      </c>
      <c r="T11" s="13">
        <v>46325.48961690972</v>
      </c>
      <c r="U11" s="11" t="s">
        <v>4</v>
      </c>
      <c r="V11" s="11" t="s">
        <v>278</v>
      </c>
    </row>
    <row r="12" spans="1:22" x14ac:dyDescent="0.25">
      <c r="A12" s="11" t="s">
        <v>198</v>
      </c>
      <c r="B12" s="11" t="s">
        <v>199</v>
      </c>
      <c r="C12" s="11" t="s">
        <v>200</v>
      </c>
      <c r="D12" s="11" t="s">
        <v>255</v>
      </c>
      <c r="E12" s="11" t="s">
        <v>256</v>
      </c>
      <c r="F12" s="11" t="s">
        <v>279</v>
      </c>
      <c r="G12" s="11" t="s">
        <v>280</v>
      </c>
      <c r="H12" s="11" t="s">
        <v>216</v>
      </c>
      <c r="I12" s="11" t="s">
        <v>206</v>
      </c>
      <c r="J12" s="11" t="s">
        <v>281</v>
      </c>
      <c r="K12" s="11" t="s">
        <v>274</v>
      </c>
      <c r="L12" s="11" t="s">
        <v>59</v>
      </c>
      <c r="M12" s="11" t="s">
        <v>53</v>
      </c>
      <c r="N12" s="11" t="s">
        <v>282</v>
      </c>
      <c r="O12" s="11" t="s">
        <v>283</v>
      </c>
      <c r="P12" s="14" t="s">
        <v>227</v>
      </c>
      <c r="Q12" s="12" t="s">
        <v>7</v>
      </c>
      <c r="R12" s="11">
        <v>2</v>
      </c>
      <c r="S12" s="11" t="s">
        <v>212</v>
      </c>
      <c r="T12" s="13">
        <v>46325.48961690972</v>
      </c>
      <c r="U12" s="11" t="s">
        <v>4</v>
      </c>
      <c r="V12" s="11" t="s">
        <v>264</v>
      </c>
    </row>
    <row r="13" spans="1:22" x14ac:dyDescent="0.25">
      <c r="A13" s="11" t="s">
        <v>198</v>
      </c>
      <c r="B13" s="11" t="s">
        <v>199</v>
      </c>
      <c r="C13" s="11" t="s">
        <v>200</v>
      </c>
      <c r="D13" s="11" t="s">
        <v>255</v>
      </c>
      <c r="E13" s="11" t="s">
        <v>256</v>
      </c>
      <c r="F13" s="11" t="s">
        <v>284</v>
      </c>
      <c r="G13" s="11" t="s">
        <v>285</v>
      </c>
      <c r="H13" s="11" t="s">
        <v>216</v>
      </c>
      <c r="I13" s="11" t="s">
        <v>206</v>
      </c>
      <c r="J13" s="11" t="s">
        <v>286</v>
      </c>
      <c r="K13" s="11" t="s">
        <v>287</v>
      </c>
      <c r="L13" s="11" t="s">
        <v>59</v>
      </c>
      <c r="M13" s="11" t="s">
        <v>66</v>
      </c>
      <c r="N13" s="11" t="s">
        <v>288</v>
      </c>
      <c r="O13" s="11" t="s">
        <v>289</v>
      </c>
      <c r="P13" s="14" t="s">
        <v>290</v>
      </c>
      <c r="Q13" s="12" t="s">
        <v>8</v>
      </c>
      <c r="R13" s="11">
        <v>4</v>
      </c>
      <c r="S13" s="11" t="s">
        <v>212</v>
      </c>
      <c r="T13" s="13">
        <v>46325.50694328704</v>
      </c>
      <c r="U13" s="11" t="s">
        <v>4</v>
      </c>
      <c r="V13" s="11" t="s">
        <v>291</v>
      </c>
    </row>
    <row r="14" spans="1:22" x14ac:dyDescent="0.25">
      <c r="A14" s="11" t="s">
        <v>198</v>
      </c>
      <c r="B14" s="11" t="s">
        <v>199</v>
      </c>
      <c r="C14" s="11" t="s">
        <v>200</v>
      </c>
      <c r="D14" s="11" t="s">
        <v>292</v>
      </c>
      <c r="E14" s="11" t="s">
        <v>293</v>
      </c>
      <c r="F14" s="11" t="s">
        <v>294</v>
      </c>
      <c r="G14" s="11" t="s">
        <v>295</v>
      </c>
      <c r="H14" s="11" t="s">
        <v>216</v>
      </c>
      <c r="I14" s="11" t="s">
        <v>206</v>
      </c>
      <c r="J14" s="11" t="s">
        <v>296</v>
      </c>
      <c r="K14" s="11" t="s">
        <v>208</v>
      </c>
      <c r="L14" s="11" t="s">
        <v>59</v>
      </c>
      <c r="M14" s="11" t="s">
        <v>53</v>
      </c>
      <c r="N14" s="11" t="s">
        <v>297</v>
      </c>
      <c r="O14" s="11" t="s">
        <v>298</v>
      </c>
      <c r="P14" s="14" t="s">
        <v>299</v>
      </c>
      <c r="Q14" s="12" t="s">
        <v>7</v>
      </c>
      <c r="R14" s="11">
        <v>2</v>
      </c>
      <c r="S14" s="11" t="s">
        <v>212</v>
      </c>
      <c r="T14" s="13">
        <v>46325.48961690972</v>
      </c>
      <c r="U14" s="11" t="s">
        <v>4</v>
      </c>
      <c r="V14" s="11" t="s">
        <v>300</v>
      </c>
    </row>
    <row r="15" spans="1:22" x14ac:dyDescent="0.25">
      <c r="A15" s="11" t="s">
        <v>198</v>
      </c>
      <c r="B15" s="11" t="s">
        <v>199</v>
      </c>
      <c r="C15" s="11" t="s">
        <v>200</v>
      </c>
      <c r="D15" s="11" t="s">
        <v>292</v>
      </c>
      <c r="E15" s="11" t="s">
        <v>293</v>
      </c>
      <c r="F15" s="11" t="s">
        <v>301</v>
      </c>
      <c r="G15" s="11" t="s">
        <v>302</v>
      </c>
      <c r="H15" s="11" t="s">
        <v>216</v>
      </c>
      <c r="I15" s="11" t="s">
        <v>206</v>
      </c>
      <c r="J15" s="11" t="s">
        <v>303</v>
      </c>
      <c r="K15" s="11" t="s">
        <v>208</v>
      </c>
      <c r="L15" s="11" t="s">
        <v>59</v>
      </c>
      <c r="M15" s="11" t="s">
        <v>100</v>
      </c>
      <c r="N15" s="11" t="s">
        <v>304</v>
      </c>
      <c r="O15" s="11" t="s">
        <v>305</v>
      </c>
      <c r="P15" s="14" t="s">
        <v>306</v>
      </c>
      <c r="Q15" s="12" t="s">
        <v>7</v>
      </c>
      <c r="R15" s="11">
        <v>2</v>
      </c>
      <c r="S15" s="11" t="s">
        <v>212</v>
      </c>
      <c r="T15" s="13">
        <v>46325.48961690972</v>
      </c>
      <c r="U15" s="11" t="s">
        <v>4</v>
      </c>
      <c r="V15" s="11" t="s">
        <v>300</v>
      </c>
    </row>
    <row r="16" spans="1:22" x14ac:dyDescent="0.25">
      <c r="A16" s="11" t="s">
        <v>198</v>
      </c>
      <c r="B16" s="11" t="s">
        <v>199</v>
      </c>
      <c r="C16" s="11" t="s">
        <v>200</v>
      </c>
      <c r="D16" s="11" t="s">
        <v>292</v>
      </c>
      <c r="E16" s="11" t="s">
        <v>293</v>
      </c>
      <c r="F16" s="11" t="s">
        <v>307</v>
      </c>
      <c r="G16" s="11" t="s">
        <v>308</v>
      </c>
      <c r="H16" s="11" t="s">
        <v>216</v>
      </c>
      <c r="I16" s="11" t="s">
        <v>206</v>
      </c>
      <c r="J16" s="11" t="s">
        <v>309</v>
      </c>
      <c r="K16" s="11" t="s">
        <v>208</v>
      </c>
      <c r="L16" s="11" t="s">
        <v>59</v>
      </c>
      <c r="M16" s="11" t="s">
        <v>135</v>
      </c>
      <c r="N16" s="11" t="s">
        <v>310</v>
      </c>
      <c r="O16" s="11" t="s">
        <v>311</v>
      </c>
      <c r="P16" s="14" t="s">
        <v>312</v>
      </c>
      <c r="Q16" s="12" t="s">
        <v>7</v>
      </c>
      <c r="R16" s="11">
        <v>2</v>
      </c>
      <c r="S16" s="11" t="s">
        <v>212</v>
      </c>
      <c r="T16" s="13">
        <v>46325.48961690972</v>
      </c>
      <c r="U16" s="11" t="s">
        <v>4</v>
      </c>
      <c r="V16" s="11" t="s">
        <v>300</v>
      </c>
    </row>
    <row r="17" spans="1:22" x14ac:dyDescent="0.25">
      <c r="A17" s="11" t="s">
        <v>198</v>
      </c>
      <c r="B17" s="11" t="s">
        <v>199</v>
      </c>
      <c r="C17" s="11" t="s">
        <v>200</v>
      </c>
      <c r="D17" s="11" t="s">
        <v>292</v>
      </c>
      <c r="E17" s="11" t="s">
        <v>293</v>
      </c>
      <c r="F17" s="11" t="s">
        <v>313</v>
      </c>
      <c r="G17" s="11" t="s">
        <v>314</v>
      </c>
      <c r="H17" s="11" t="s">
        <v>216</v>
      </c>
      <c r="I17" s="11" t="s">
        <v>206</v>
      </c>
      <c r="J17" s="11" t="s">
        <v>315</v>
      </c>
      <c r="K17" s="11" t="s">
        <v>208</v>
      </c>
      <c r="L17" s="11" t="s">
        <v>59</v>
      </c>
      <c r="M17" s="11" t="s">
        <v>53</v>
      </c>
      <c r="N17" s="11" t="s">
        <v>316</v>
      </c>
      <c r="O17" s="11" t="s">
        <v>317</v>
      </c>
      <c r="P17" s="14" t="s">
        <v>318</v>
      </c>
      <c r="Q17" s="12" t="s">
        <v>7</v>
      </c>
      <c r="R17" s="11">
        <v>2</v>
      </c>
      <c r="S17" s="11" t="s">
        <v>212</v>
      </c>
      <c r="T17" s="13">
        <v>46325.48961690972</v>
      </c>
      <c r="U17" s="11" t="s">
        <v>4</v>
      </c>
      <c r="V17" s="11" t="s">
        <v>300</v>
      </c>
    </row>
    <row r="18" spans="1:22" x14ac:dyDescent="0.25">
      <c r="A18" s="11" t="s">
        <v>198</v>
      </c>
      <c r="B18" s="11" t="s">
        <v>199</v>
      </c>
      <c r="C18" s="11" t="s">
        <v>200</v>
      </c>
      <c r="D18" s="11" t="s">
        <v>292</v>
      </c>
      <c r="E18" s="11" t="s">
        <v>293</v>
      </c>
      <c r="F18" s="11" t="s">
        <v>319</v>
      </c>
      <c r="G18" s="11" t="s">
        <v>320</v>
      </c>
      <c r="H18" s="11" t="s">
        <v>216</v>
      </c>
      <c r="I18" s="11" t="s">
        <v>206</v>
      </c>
      <c r="J18" s="11" t="s">
        <v>321</v>
      </c>
      <c r="K18" s="11" t="s">
        <v>208</v>
      </c>
      <c r="L18" s="11" t="s">
        <v>59</v>
      </c>
      <c r="M18" s="11" t="s">
        <v>53</v>
      </c>
      <c r="N18" s="11" t="s">
        <v>322</v>
      </c>
      <c r="O18" s="11" t="s">
        <v>323</v>
      </c>
      <c r="P18" s="14" t="s">
        <v>324</v>
      </c>
      <c r="Q18" s="12" t="s">
        <v>7</v>
      </c>
      <c r="R18" s="11">
        <v>2</v>
      </c>
      <c r="S18" s="11" t="s">
        <v>212</v>
      </c>
      <c r="T18" s="13">
        <v>46325.48961690972</v>
      </c>
      <c r="U18" s="11" t="s">
        <v>4</v>
      </c>
      <c r="V18" s="11" t="s">
        <v>300</v>
      </c>
    </row>
    <row r="19" spans="1:22" x14ac:dyDescent="0.25">
      <c r="A19" s="11" t="s">
        <v>198</v>
      </c>
      <c r="B19" s="11" t="s">
        <v>199</v>
      </c>
      <c r="C19" s="11" t="s">
        <v>200</v>
      </c>
      <c r="D19" s="11" t="s">
        <v>292</v>
      </c>
      <c r="E19" s="11" t="s">
        <v>293</v>
      </c>
      <c r="F19" s="11" t="s">
        <v>325</v>
      </c>
      <c r="G19" s="11" t="s">
        <v>326</v>
      </c>
      <c r="H19" s="11" t="s">
        <v>216</v>
      </c>
      <c r="I19" s="11" t="s">
        <v>206</v>
      </c>
      <c r="J19" s="11" t="s">
        <v>327</v>
      </c>
      <c r="K19" s="11" t="s">
        <v>208</v>
      </c>
      <c r="L19" s="11" t="s">
        <v>59</v>
      </c>
      <c r="M19" s="11" t="s">
        <v>53</v>
      </c>
      <c r="N19" s="11" t="s">
        <v>328</v>
      </c>
      <c r="O19" s="11" t="s">
        <v>329</v>
      </c>
      <c r="P19" s="14" t="s">
        <v>330</v>
      </c>
      <c r="Q19" s="12" t="s">
        <v>7</v>
      </c>
      <c r="R19" s="11">
        <v>2</v>
      </c>
      <c r="S19" s="11" t="s">
        <v>212</v>
      </c>
      <c r="T19" s="13">
        <v>46325.48961690972</v>
      </c>
      <c r="U19" s="11" t="s">
        <v>4</v>
      </c>
      <c r="V19" s="11" t="s">
        <v>300</v>
      </c>
    </row>
    <row r="20" spans="1:22" x14ac:dyDescent="0.25">
      <c r="A20" s="11" t="s">
        <v>198</v>
      </c>
      <c r="B20" s="11" t="s">
        <v>199</v>
      </c>
      <c r="C20" s="11" t="s">
        <v>200</v>
      </c>
      <c r="D20" s="11" t="s">
        <v>292</v>
      </c>
      <c r="E20" s="11" t="s">
        <v>293</v>
      </c>
      <c r="F20" s="11" t="s">
        <v>331</v>
      </c>
      <c r="G20" s="11" t="s">
        <v>332</v>
      </c>
      <c r="H20" s="11" t="s">
        <v>216</v>
      </c>
      <c r="I20" s="11" t="s">
        <v>206</v>
      </c>
      <c r="J20" s="11" t="s">
        <v>333</v>
      </c>
      <c r="K20" s="11" t="s">
        <v>208</v>
      </c>
      <c r="L20" s="11" t="s">
        <v>59</v>
      </c>
      <c r="M20" s="11" t="s">
        <v>100</v>
      </c>
      <c r="N20" s="11" t="s">
        <v>334</v>
      </c>
      <c r="O20" s="11" t="s">
        <v>335</v>
      </c>
      <c r="P20" s="14" t="s">
        <v>336</v>
      </c>
      <c r="Q20" s="12" t="s">
        <v>8</v>
      </c>
      <c r="R20" s="11">
        <v>2</v>
      </c>
      <c r="S20" s="11" t="s">
        <v>212</v>
      </c>
      <c r="T20" s="13">
        <v>46325.48961690972</v>
      </c>
      <c r="U20" s="11" t="s">
        <v>4</v>
      </c>
      <c r="V20" s="11" t="s">
        <v>337</v>
      </c>
    </row>
    <row r="21" spans="12:21" x14ac:dyDescent="0.25"/>
    <row r="22" spans="12:21" x14ac:dyDescent="0.25"/>
    <row r="23" spans="12:21" x14ac:dyDescent="0.25"/>
    <row r="24" spans="12:21" x14ac:dyDescent="0.25"/>
    <row r="25" spans="12:21" x14ac:dyDescent="0.25"/>
    <row r="26" spans="12:21" x14ac:dyDescent="0.25"/>
    <row r="27" spans="12:21" x14ac:dyDescent="0.25"/>
    <row r="28" spans="12:21" x14ac:dyDescent="0.25"/>
    <row r="29" spans="12:21" x14ac:dyDescent="0.25"/>
    <row r="30" spans="12:21" x14ac:dyDescent="0.25"/>
    <row r="31" spans="12:21" x14ac:dyDescent="0.25"/>
    <row r="32" spans="12:21" x14ac:dyDescent="0.25"/>
    <row r="33" spans="12:21" x14ac:dyDescent="0.25"/>
    <row r="34" spans="12:21" x14ac:dyDescent="0.25"/>
    <row r="35" spans="12:21" x14ac:dyDescent="0.25"/>
    <row r="36" spans="12:21" x14ac:dyDescent="0.25"/>
    <row r="37" spans="12:21" x14ac:dyDescent="0.25"/>
    <row r="38" spans="12:21" x14ac:dyDescent="0.25"/>
    <row r="39" spans="12:21" x14ac:dyDescent="0.25"/>
    <row r="40" spans="12:21" x14ac:dyDescent="0.25"/>
    <row r="41" spans="12:21" x14ac:dyDescent="0.25"/>
    <row r="42" spans="12:21" x14ac:dyDescent="0.25"/>
    <row r="43" spans="12:21" x14ac:dyDescent="0.25"/>
    <row r="44" spans="12:21" x14ac:dyDescent="0.25"/>
    <row r="45" spans="12:21" x14ac:dyDescent="0.25"/>
    <row r="46" spans="12:21" x14ac:dyDescent="0.25"/>
    <row r="47" spans="12:21" x14ac:dyDescent="0.25"/>
    <row r="48" spans="12:21" x14ac:dyDescent="0.25"/>
    <row r="49" spans="12:21" x14ac:dyDescent="0.25"/>
    <row r="50" spans="12:21" x14ac:dyDescent="0.25"/>
    <row r="51" spans="12:21" x14ac:dyDescent="0.25"/>
    <row r="52" spans="12:21" x14ac:dyDescent="0.25"/>
    <row r="53" spans="12:21" x14ac:dyDescent="0.25"/>
    <row r="54" spans="12:21" x14ac:dyDescent="0.25"/>
    <row r="55" spans="12:21" x14ac:dyDescent="0.25"/>
    <row r="56" spans="12:21" x14ac:dyDescent="0.25"/>
    <row r="57" spans="12:21" x14ac:dyDescent="0.25"/>
    <row r="58" spans="12:21" x14ac:dyDescent="0.25"/>
    <row r="59" spans="12:21" x14ac:dyDescent="0.25"/>
    <row r="60" spans="12:21" x14ac:dyDescent="0.25"/>
    <row r="61" spans="12:21" x14ac:dyDescent="0.25"/>
    <row r="62" spans="12:21" x14ac:dyDescent="0.25"/>
    <row r="63" spans="12:21" x14ac:dyDescent="0.25"/>
    <row r="64" spans="12:21" x14ac:dyDescent="0.25"/>
    <row r="65" spans="12:21" x14ac:dyDescent="0.25"/>
    <row r="66" spans="12:21" x14ac:dyDescent="0.25"/>
    <row r="67" spans="12:21" x14ac:dyDescent="0.25"/>
    <row r="68" spans="12:21" x14ac:dyDescent="0.25"/>
    <row r="69" spans="12:21" x14ac:dyDescent="0.25"/>
    <row r="70" spans="12:21" x14ac:dyDescent="0.25"/>
  </sheetData>
  <autoFilter ref="A1:V70"/>
  <conditionalFormatting sqref="Q2:Q70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8">
    <dataValidation type="list" allowBlank="1" sqref="L10:L70">
      <formula1>"Smoke,Functional,Regression,UAT,API"</formula1>
    </dataValidation>
    <dataValidation type="list" allowBlank="1" sqref="L2:L70">
      <formula1>"Smoke,Functional,Regression,UAT,API"</formula1>
    </dataValidation>
    <dataValidation type="list" allowBlank="1" sqref="M10:M70">
      <formula1>"Positive,Negative,Boundary Value,Equivalence Partitioning,Error Handling,Validation"</formula1>
    </dataValidation>
    <dataValidation type="list" allowBlank="1" sqref="M2:M70">
      <formula1>"Positive,Negative,Boundary Value,Equivalence Partitioning,Error Handling,Validation"</formula1>
    </dataValidation>
    <dataValidation type="list" allowBlank="1" sqref="Q10:Q70">
      <formula1>"PASS,FAIL"</formula1>
    </dataValidation>
    <dataValidation type="list" allowBlank="1" sqref="Q2:Q70">
      <formula1>"PASS,FAIL"</formula1>
    </dataValidation>
    <dataValidation type="list" allowBlank="1" sqref="U10:U70">
      <formula1>"Manual,Automation,Removed"</formula1>
    </dataValidation>
    <dataValidation type="list" allowBlank="1" sqref="U2:U70">
      <formula1>"Manual,Automation,Removed"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  <hyperlink ref="P15" r:id="rId14"/>
    <hyperlink ref="P16" r:id="rId15"/>
    <hyperlink ref="P17" r:id="rId16"/>
    <hyperlink ref="P18" r:id="rId17"/>
    <hyperlink ref="P19" r:id="rId18"/>
    <hyperlink ref="P20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Login</vt:lpstr>
      <vt:lpstr>Campaigns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SalesHiker Mobile QA automation</dc:creator>
  <dc:title/>
  <dc:subject/>
  <dc:description/>
  <cp:keywords/>
  <cp:category/>
  <cp:lastModifiedBy>Unknown</cp:lastModifiedBy>
  <dcterms:created xsi:type="dcterms:W3CDTF">2026-10-30T12:11:15Z</dcterms:created>
  <dcterms:modified xsi:type="dcterms:W3CDTF">2026-10-30T12:11:15Z</dcterms:modified>
</cp:coreProperties>
</file>