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gin" state="visible" r:id="rId5"/>
    <sheet sheetId="3" name="Notes" state="visible" r:id="rId6"/>
  </sheets>
  <calcPr calcId="171027" fullCalcOnLoad="1"/>
</workbook>
</file>

<file path=xl/sharedStrings.xml><?xml version="1.0" encoding="utf-8"?>
<sst xmlns="http://schemas.openxmlformats.org/spreadsheetml/2006/main" count="465" uniqueCount="236">
  <si>
    <t>SalesHiker Mobile Test Execution Summary</t>
  </si>
  <si>
    <t>Module</t>
  </si>
  <si>
    <t>Total Test Cases</t>
  </si>
  <si>
    <t>Automation</t>
  </si>
  <si>
    <t>Manual</t>
  </si>
  <si>
    <t>Executed</t>
  </si>
  <si>
    <t>PASS</t>
  </si>
  <si>
    <t>FAIL</t>
  </si>
  <si>
    <t>Not Executed</t>
  </si>
  <si>
    <t>Pass Rate (of executed)</t>
  </si>
  <si>
    <t>Login</t>
  </si>
  <si>
    <t>Total</t>
  </si>
  <si>
    <t>Counts update automatically when the Status or Mode columns on the Login sheet change.</t>
  </si>
  <si>
    <t>Not Executed = cases with no PASS/FAIL in the selected run (for example, skipped because credentials were missing).</t>
  </si>
  <si>
    <t>MLGN-012 is expected to FAIL until defect MLGN-D01 is fixed: its assertions describe the correct behaviour and must not be relaxed.</t>
  </si>
  <si>
    <t>Req. ID #</t>
  </si>
  <si>
    <t>Feature / Module</t>
  </si>
  <si>
    <t>Applicable Role</t>
  </si>
  <si>
    <t>Test Senarios ID #</t>
  </si>
  <si>
    <t>Test Scenarios</t>
  </si>
  <si>
    <t>Test Case ID</t>
  </si>
  <si>
    <t>Test Cases</t>
  </si>
  <si>
    <t>Pre-requisites</t>
  </si>
  <si>
    <t>Test Environment</t>
  </si>
  <si>
    <t>Test Steps</t>
  </si>
  <si>
    <t>Inputs Data</t>
  </si>
  <si>
    <t>Test Type (Smoke / Functional / Regression / UAT / API)</t>
  </si>
  <si>
    <t>Test Design (Positive / Negative / Boundary Value / Equivalence Partitioning / Error Handling / Validation)</t>
  </si>
  <si>
    <t>Expected Result</t>
  </si>
  <si>
    <t>Actual Result</t>
  </si>
  <si>
    <t>Screenshot / Video</t>
  </si>
  <si>
    <t xml:space="preserve">Status
(PASS / FAIL)</t>
  </si>
  <si>
    <t>Test Iteration</t>
  </si>
  <si>
    <t>Test Executed By</t>
  </si>
  <si>
    <t>Date of Execution</t>
  </si>
  <si>
    <t xml:space="preserve">Mode
(Manual / Automation)</t>
  </si>
  <si>
    <t>Comments</t>
  </si>
  <si>
    <t>REQ-MAUTH-01</t>
  </si>
  <si>
    <t>Workspace user (mobile app)</t>
  </si>
  <si>
    <t>TS-MLGN-01</t>
  </si>
  <si>
    <t>Valid users can sign in</t>
  </si>
  <si>
    <t>MLGN-001</t>
  </si>
  <si>
    <t>Sign in with valid credentials</t>
  </si>
  <si>
    <t xml:space="preserve">Registered beta test account exists (config\.env).
App installed.
User is signed out (test starts with cleared app data).
Sign-in screen is shown.</t>
  </si>
  <si>
    <t xml:space="preserve">Beta backend: accountsbeta.saleshiker.com
Android 15 emulator (SalesHiker_API35, Pixel 7, x86_64)
App: com.saleshiker.app 1.0.0 (saleshiker-beta-2026-10-28.apk)</t>
  </si>
  <si>
    <t xml:space="preserve">1. Launch the app.
2. Enter the registered email.
3. Enter the correct password.
4. Tap "Sign in".</t>
  </si>
  <si>
    <t xml:space="preserve">Email: test account email (from config\.env)
Password: test account password (from config\.env, not shown)</t>
  </si>
  <si>
    <t>Smoke</t>
  </si>
  <si>
    <t>Positive</t>
  </si>
  <si>
    <t>Home ("Today") dashboard opens with the "Unread chats" summary. Sign-in screen is no longer shown.</t>
  </si>
  <si>
    <t xml:space="preserve">Flow: .maestro/flows/smoke/login-smoke.yaml
Not executed: the device went offline during run 20261029-175151-regression (environment, not a product result).</t>
  </si>
  <si>
    <t>MLGN-002</t>
  </si>
  <si>
    <t>Sign in by pressing Enter on the keyboard</t>
  </si>
  <si>
    <t xml:space="preserve">1. Launch the app.
2. Enter the registered email.
3. Enter the correct password.
4. Press Enter on the on-screen keyboard (do not tap "Sign in").</t>
  </si>
  <si>
    <t>Functional</t>
  </si>
  <si>
    <t>Home ("Today") dashboard opens.</t>
  </si>
  <si>
    <t xml:space="preserve">Flow: .maestro/flows/regression/login-enter-key.yaml
Not executed: the device went offline during run 20261029-175151-regression (environment, not a product result).</t>
  </si>
  <si>
    <t>MLGN-003</t>
  </si>
  <si>
    <t>Email is not case-sensitive</t>
  </si>
  <si>
    <t xml:space="preserve">1. Launch the app.
2. Enter the registered email in UPPER CASE.
3. Enter the correct password.
4. Tap "Sign in".</t>
  </si>
  <si>
    <t xml:space="preserve">Email: test account email in UPPER CASE
Password: correct password (from config\.env)</t>
  </si>
  <si>
    <t>Equivalence Partitioning</t>
  </si>
  <si>
    <t>Assertion is false: "Welcome back to SalesHiker" is visible</t>
  </si>
  <si>
    <t>Run report: 20261029-175151-regression</t>
  </si>
  <si>
    <t>Automation Suite (Maestro)</t>
  </si>
  <si>
    <t xml:space="preserve">Flow: .maestro/flows/regression/login-email-uppercase.yaml
Last automated run: 29-Oct-2026 FAIL (emulator-5554, Android 15) - 20261029-175151-regression</t>
  </si>
  <si>
    <t>MLGN-004</t>
  </si>
  <si>
    <t>Spaces around the email are ignored</t>
  </si>
  <si>
    <t xml:space="preserve">1. Launch the app.
2. Enter the registered email with two spaces before and after it.
3. Enter the correct password.
4. Tap "Sign in".</t>
  </si>
  <si>
    <t xml:space="preserve">Email: "  &lt;test account email&gt;  "
Password: correct password (from config\.env)</t>
  </si>
  <si>
    <t>Spaces are trimmed and the Home ("Today") dashboard opens.</t>
  </si>
  <si>
    <t>Surrounding spaces ignored; Home opened.</t>
  </si>
  <si>
    <t>Screenshot: MLGN-004-home.png</t>
  </si>
  <si>
    <t xml:space="preserve">Flow: .maestro/flows/regression/login-email-spaces.yaml
Last automated run: 29-Oct-2026 PASS (emulator-5554, Android 15) - 20261029-175151-regression</t>
  </si>
  <si>
    <t>REQ-MAUTH-02</t>
  </si>
  <si>
    <t>TS-MLGN-02</t>
  </si>
  <si>
    <t>Invalid credentials are rejected</t>
  </si>
  <si>
    <t>MLGN-005</t>
  </si>
  <si>
    <t>Sign in with a wrong password</t>
  </si>
  <si>
    <t xml:space="preserve">1. Launch the app.
2. Enter the registered email.
3. Enter a wrong password.
4. Tap "Sign in".</t>
  </si>
  <si>
    <t xml:space="preserve">Email: test account email (from config\.env)
Password: WrongPassword123!</t>
  </si>
  <si>
    <t>Negative</t>
  </si>
  <si>
    <t>Error banner "Email or password is wrong." is shown. User stays on the sign-in screen.</t>
  </si>
  <si>
    <t xml:space="preserve">Flow: .maestro/flows/regression/login-wrong-password.yaml
Not executed: the device went offline during run 20261029-175151-regression (environment, not a product result).</t>
  </si>
  <si>
    <t>MLGN-006</t>
  </si>
  <si>
    <t>Sign in with an unregistered email</t>
  </si>
  <si>
    <t xml:space="preserve">App installed.
User is signed out (test starts with cleared app data).
Sign-in screen is shown.</t>
  </si>
  <si>
    <t xml:space="preserve">1. Launch the app.
2. Enter an email that has no account.
3. Enter any password.
4. Tap "Sign in".</t>
  </si>
  <si>
    <t xml:space="preserve">Email: qa.nonexistent.user@example.com
Password: WrongPassword123!</t>
  </si>
  <si>
    <t>The same generic error "Email or password is wrong." is shown (the app does not reveal whether the account exists). User stays on sign-in.</t>
  </si>
  <si>
    <t xml:space="preserve">Flow: .maestro/flows/regression/login-unregistered-email.yaml
Not executed: the device went offline during run 20261029-175151-regression (environment, not a product result).</t>
  </si>
  <si>
    <t>MLGN-007</t>
  </si>
  <si>
    <t>Password is case-sensitive</t>
  </si>
  <si>
    <t xml:space="preserve">1. Launch the app.
2. Enter the registered email.
3. Enter the correct password with the case of every letter swapped.
4. Tap "Sign in".</t>
  </si>
  <si>
    <t xml:space="preserve">Email: test account email (from config\.env)
Password: correct password, letter case swapped (generated, not shown)</t>
  </si>
  <si>
    <t>"Email or password is wrong." is shown. User is not signed in.</t>
  </si>
  <si>
    <t xml:space="preserve">Flow: .maestro/flows/regression/login-password-case.yaml
Not executed: the device went offline during run 20261029-175151-regression (environment, not a product result).</t>
  </si>
  <si>
    <t>REQ-MAUTH-03</t>
  </si>
  <si>
    <t>TS-MLGN-03</t>
  </si>
  <si>
    <t>The form validates input before sign-in</t>
  </si>
  <si>
    <t>MLGN-008</t>
  </si>
  <si>
    <t>Empty form cannot be submitted</t>
  </si>
  <si>
    <t xml:space="preserve">1. Launch the app.
2. Leave email and password empty.
3. Tap "Sign in".</t>
  </si>
  <si>
    <t xml:space="preserve">Email: (blank)
Password: (blank)</t>
  </si>
  <si>
    <t>Validation</t>
  </si>
  <si>
    <t>"Enter your email" and "Enter your password" are shown under the fields. No sign-in request ("Signing in..." is not shown).</t>
  </si>
  <si>
    <t xml:space="preserve">Flow: .maestro/flows/regression/login-empty-form.yaml
Last automated run: 29-Oct-2026 FAIL (emulator-5554, Android 15) - 20261029-175151-regression</t>
  </si>
  <si>
    <t>MLGN-009</t>
  </si>
  <si>
    <t>Email is required</t>
  </si>
  <si>
    <t xml:space="preserve">1. Launch the app.
2. Leave email empty.
3. Enter a password.
4. Tap "Sign in".</t>
  </si>
  <si>
    <t xml:space="preserve">Email: (blank)
Password: WrongPassword123!</t>
  </si>
  <si>
    <t>Only "Enter your email" is shown. User stays on sign-in.</t>
  </si>
  <si>
    <t>Only the email-required message shown.</t>
  </si>
  <si>
    <t>N/A (passed)</t>
  </si>
  <si>
    <t xml:space="preserve">Flow: .maestro/flows/regression/login-email-required.yaml
Last automated run: 29-Oct-2026 PASS (emulator-5554, Android 15) - 20261029-175151-regression</t>
  </si>
  <si>
    <t>MLGN-010</t>
  </si>
  <si>
    <t>Password is required</t>
  </si>
  <si>
    <t xml:space="preserve">1. Launch the app.
2. Enter an email.
3. Leave password empty.
4. Tap "Sign in".</t>
  </si>
  <si>
    <t xml:space="preserve">Email: qa.user@example.com
Password: (blank)</t>
  </si>
  <si>
    <t>Only "Enter your password" is shown. User stays on sign-in.</t>
  </si>
  <si>
    <t xml:space="preserve">Flow: .maestro/flows/regression/login-password-required.yaml
Not executed: the device went offline during run 20261029-175151-regression (environment, not a product result).</t>
  </si>
  <si>
    <t>MLGN-011</t>
  </si>
  <si>
    <t>Malformed email shows an inline format error</t>
  </si>
  <si>
    <t xml:space="preserve">1. Launch the app.
2. Enter an email without "@".
3. Enter a password.
4. Tap "Sign in".</t>
  </si>
  <si>
    <t xml:space="preserve">Email: not-an-email
Password: Secret123</t>
  </si>
  <si>
    <t>Inline error "Enter a full email, like you@company.com." is shown under the email field. User stays on sign-in.</t>
  </si>
  <si>
    <t xml:space="preserve">Flow: .maestro/flows/regression/login-malformed-email.yaml
Not executed: the device went offline during run 20261029-175151-regression (environment, not a product result).</t>
  </si>
  <si>
    <t>MLGN-012</t>
  </si>
  <si>
    <t>Malformed email is not sent to the server</t>
  </si>
  <si>
    <t xml:space="preserve">1. Launch the app.
2. Enter an email without "@".
3. Enter a password.
4. Tap "Sign in".
5. Wait 10 seconds.</t>
  </si>
  <si>
    <t>Only the inline format error is shown. The form is not submitted: no "Signing in..." state and no server error banner. Empty fields are already handled this way (MLGN-008).</t>
  </si>
  <si>
    <t xml:space="preserve">Flow: .maestro/flows/regression/login-malformed-email-not-sent.yaml
Not executed: the device went offline during run 20261029-175151-regression (environment, not a product result).</t>
  </si>
  <si>
    <t>REQ-MAUTH-04</t>
  </si>
  <si>
    <t>TS-MLGN-04</t>
  </si>
  <si>
    <t>Unusual input is handled safely</t>
  </si>
  <si>
    <t>MLGN-013</t>
  </si>
  <si>
    <t>SQL-injection style input does not sign in</t>
  </si>
  <si>
    <t xml:space="preserve">1. Launch the app.
2. Enter an SQL-injection string as email and password.
3. Tap "Sign in".</t>
  </si>
  <si>
    <t xml:space="preserve">Email: ' OR '1'='1
Password: ' OR '1'='1</t>
  </si>
  <si>
    <t>Input is rejected as a malformed email ("Enter a full email, like you@company.com."). User is not signed in and the app does not crash.</t>
  </si>
  <si>
    <t xml:space="preserve">Flow: .maestro/flows/regression/login-injection.yaml
Not executed: the device went offline during run 20261029-175151-regression (environment, not a product result).</t>
  </si>
  <si>
    <t>MLGN-014</t>
  </si>
  <si>
    <t>Whitespace-only password is treated as empty</t>
  </si>
  <si>
    <t xml:space="preserve">1. Launch the app.
2. Enter a valid email.
3. Enter only spaces as the password.
4. Tap "Sign in".</t>
  </si>
  <si>
    <t xml:space="preserve">Email: qa.user@example.com
Password: 5 spaces</t>
  </si>
  <si>
    <t>Boundary Value</t>
  </si>
  <si>
    <t>"Enter your password" is shown and no sign-in is attempted ("Email or password is wrong." does not appear).</t>
  </si>
  <si>
    <t xml:space="preserve">Flow: .maestro/flows/regression/login-whitespace-password.yaml
Not executed: the device went offline during run 20261029-175151-regression (environment, not a product result).</t>
  </si>
  <si>
    <t>MLGN-015</t>
  </si>
  <si>
    <t>Over-long email is rejected without a crash</t>
  </si>
  <si>
    <t xml:space="preserve">1. Launch the app.
2. Enter an email whose part before "@" is 250 characters.
3. Enter a password.
4. Tap "Sign in".</t>
  </si>
  <si>
    <t xml:space="preserve">Email: 250 x "a" + @example.com
Password: Secret123</t>
  </si>
  <si>
    <t>Sign-in is refused with an error message and the app stays responsive on the sign-in screen.</t>
  </si>
  <si>
    <t xml:space="preserve">Flow: .maestro/flows/regression/login-long-email.yaml
Not executed: the device went offline during run 20261029-175151-regression (environment, not a product result).</t>
  </si>
  <si>
    <t>REQ-MAUTH-05</t>
  </si>
  <si>
    <t>TS-MLGN-05</t>
  </si>
  <si>
    <t>Sign-in screen offers the expected options</t>
  </si>
  <si>
    <t>MLGN-016</t>
  </si>
  <si>
    <t>Sign-in screen shows all expected elements</t>
  </si>
  <si>
    <t xml:space="preserve">1. Launch the app from a clean state.
2. Check each field, button and link.</t>
  </si>
  <si>
    <t>N/A</t>
  </si>
  <si>
    <t>Logo, "Welcome back to SalesHiker", Email address, Password, "Show password", "Sign in", "Forgot password?", "Scan a code from the web app", "New here? Create your workspace" and the dark-mode toggle are visible.</t>
  </si>
  <si>
    <t xml:space="preserve">Flow: .maestro/flows/smoke/app-launch.yaml
Not executed: the device went offline during run 20261029-175151-regression (environment, not a product result).</t>
  </si>
  <si>
    <t>MLGN-017</t>
  </si>
  <si>
    <t>Password can be shown and hidden</t>
  </si>
  <si>
    <t xml:space="preserve">1. Launch the app.
2. Type a password.
3. Tap "Show password".
4. Tap "Hide password".</t>
  </si>
  <si>
    <t>Password: Secret123</t>
  </si>
  <si>
    <t>Password is masked, then shown as plain text (button label "Hide password"), then masked again (label "Show password").</t>
  </si>
  <si>
    <t xml:space="preserve">Flow: .maestro/flows/regression/login-password-visibility.yaml
Not executed: the device went offline during run 20261029-175151-regression (environment, not a product result).</t>
  </si>
  <si>
    <t>MLGN-018</t>
  </si>
  <si>
    <t>"Forgot password?" opens the reset page</t>
  </si>
  <si>
    <t xml:space="preserve">1. Launch the app.
2. Tap "Forgot password?".</t>
  </si>
  <si>
    <t>The password-reset page (accountsbeta.saleshiker.com) opens in the device browser and the app leaves the sign-in screen.</t>
  </si>
  <si>
    <t xml:space="preserve">Flow: .maestro/flows/regression/login-forgot-password.yaml
Not executed: the device went offline during run 20261029-175151-regression (environment, not a product result).</t>
  </si>
  <si>
    <t>MLGN-019</t>
  </si>
  <si>
    <t>"Create your workspace" opens the sign-up page</t>
  </si>
  <si>
    <t xml:space="preserve">1. Launch the app.
2. Tap "New here? Create your workspace".</t>
  </si>
  <si>
    <t>The sign-up page (accountsbeta.saleshiker.com) opens in the device browser.</t>
  </si>
  <si>
    <t>Hand-off to the browser happened (Chrome opened).</t>
  </si>
  <si>
    <t>Screenshot: MLGN-019-handoff.png</t>
  </si>
  <si>
    <t xml:space="preserve">Flow: .maestro/flows/regression/login-create-workspace.yaml
Last automated run: 29-Oct-2026 PASS (emulator-5554, Android 15) - 20261029-175151-regression</t>
  </si>
  <si>
    <t>REQ-MAUTH-06</t>
  </si>
  <si>
    <t>TS-MLGN-06</t>
  </si>
  <si>
    <t>Session stays active until the user signs out</t>
  </si>
  <si>
    <t>MLGN-020</t>
  </si>
  <si>
    <t>Session stays active after the app is restarted</t>
  </si>
  <si>
    <t xml:space="preserve">1. Sign in with valid credentials.
2. Force-stop the app.
3. Launch the app again.</t>
  </si>
  <si>
    <t>Home ("Today") opens directly. The user is not asked to sign in again.</t>
  </si>
  <si>
    <t xml:space="preserve">Flow: .maestro/flows/regression/login-session-restart.yaml
Not executed: the device went offline during run 20261029-175151-regression (environment, not a product result).</t>
  </si>
  <si>
    <t>MLGN-021</t>
  </si>
  <si>
    <t>Back on Home leaves the app without signing out</t>
  </si>
  <si>
    <t xml:space="preserve">1. Sign in with valid credentials.
2. On Home, press the Android Back button.
3. Open the app again.</t>
  </si>
  <si>
    <t>Back sends the app to the background (it does not return to the sign-in screen). Reopening shows Home, still signed in.</t>
  </si>
  <si>
    <t>Back left the app; reopening showed Home.</t>
  </si>
  <si>
    <t>Screenshot: MLGN-021-home-after-relaunch.png</t>
  </si>
  <si>
    <t xml:space="preserve">Flow: .maestro/flows/regression/login-back-keeps-session.yaml
Last automated run: 29-Oct-2026 PASS (emulator-5554, Android 15) - 20261029-175151-regression</t>
  </si>
  <si>
    <t>REQ-MAUTH-07</t>
  </si>
  <si>
    <t>TS-MLGN-07</t>
  </si>
  <si>
    <t>Users can sign out</t>
  </si>
  <si>
    <t>MLGN-022</t>
  </si>
  <si>
    <t>Sign out asks for confirmation and Cancel keeps the session</t>
  </si>
  <si>
    <t xml:space="preserve">1. Sign in with valid credentials.
2. Open More (bottom navigation).
3. Scroll down and tap "Sign out".
4. Tap "Cancel" in the dialog.</t>
  </si>
  <si>
    <t>Dialog "Sign out?" with "You stop getting notifications on this phone." and Cancel / Sign out buttons. After Cancel the dialog closes and the user stays signed in on More.</t>
  </si>
  <si>
    <t xml:space="preserve">Flow: .maestro/flows/regression/login-signout-cancel.yaml
Not executed: the device went offline during run 20261029-175151-regression (environment, not a product result).</t>
  </si>
  <si>
    <t>MLGN-023</t>
  </si>
  <si>
    <t>User can sign out and is not signed back in on relaunch</t>
  </si>
  <si>
    <t xml:space="preserve">1. Sign in with valid credentials.
2. Open More and tap "Sign out".
3. Confirm with "Sign out".
4. Force-stop and relaunch the app.</t>
  </si>
  <si>
    <t>After confirming, the sign-in screen is shown. After relaunch the sign-in screen is still shown (Home is not reachable).</t>
  </si>
  <si>
    <t xml:space="preserve">Flow: .maestro/flows/regression/login-signout.yaml
Not executed: the device went offline during run 20261029-175151-regression (environment, not a product result).</t>
  </si>
  <si>
    <t>REQ-MAUTH-08</t>
  </si>
  <si>
    <t>TS-MLGN-08</t>
  </si>
  <si>
    <t>Network problems are reported clearly</t>
  </si>
  <si>
    <t>MLGN-024</t>
  </si>
  <si>
    <t>Sign in without network shows a connection error</t>
  </si>
  <si>
    <t xml:space="preserve">Registered beta test account exists (config\.env).
App installed.
User is signed out (test starts with cleared app data).
Sign-in screen is shown.
Device is in airplane mode.</t>
  </si>
  <si>
    <t xml:space="preserve">1. Launch the app.
2. Turn on airplane mode.
3. Enter valid credentials.
4. Tap "Sign in".</t>
  </si>
  <si>
    <t>Error Handling</t>
  </si>
  <si>
    <t>"Check your connection and try again." is shown. User stays on sign-in; nothing is lost.</t>
  </si>
  <si>
    <t xml:space="preserve">Flow: .maestro/flows/regression/login-offline.yaml
Not executed: the device went offline during run 20261029-175151-regression (environment, not a product result).</t>
  </si>
  <si>
    <t>How to use this workbook</t>
  </si>
  <si>
    <t/>
  </si>
  <si>
    <t>Generated file</t>
  </si>
  <si>
    <t>Rebuilt by tools\excel\build-login-workbooks.js from tools\excel\login-test-cases.js and the selected run folder(s). Edit test-case text in login-test-cases.js, not here, or it is overwritten on the next build.</t>
  </si>
  <si>
    <t>Columns filled from the run</t>
  </si>
  <si>
    <t>Actual Result, Screenshot / Video, Status, Test Iteration, Test Executed By, Date of Execution, Comments.</t>
  </si>
  <si>
    <t>Summary sheet</t>
  </si>
  <si>
    <t>Counts are formulas over the Status and Mode columns of the Login sheet.</t>
  </si>
  <si>
    <t>"Automation Suite (Maestro)" means the Maestro flows in .maestro\flows of this project, run with scripts\run-regression.ps1 -Tags login. Evidence (screenshots, video, logs, junit.xml) is under reports\&lt;timestamp&gt;-&lt;suite&gt;\.</t>
  </si>
  <si>
    <t>Beta backend: accountsbeta.saleshiker.com; Android 15 emulator (SalesHiker_API35, Pixel 7, x86_64); App: com.saleshiker.app 1.0.0 (saleshiker-beta-2026-10-28.apk)</t>
  </si>
  <si>
    <t>Credentials</t>
  </si>
  <si>
    <t>Credentials are never written in this file. They come from config\.env (git-ignored), and the runner redacts the password from all text reports.</t>
  </si>
  <si>
    <t>1 = first execution cycle. 2 = re-test after a failure.</t>
  </si>
  <si>
    <t>Relation to the web workbook</t>
  </si>
  <si>
    <t>Same columns and conventions as D:\QA\Automation\SalesHiker\docs\test-cases\SalesHiker_Test_Cases.xlsx (web app). Mobile IDs use the MLGN- prefix so they never clash with the web LGN- IDs.</t>
  </si>
  <si>
    <t>Defects</t>
  </si>
  <si>
    <t>See docs\SalesHiker_Mobile_Defect_Tracker.xlsx (sheet Login). IDs: MLGN-Dnn.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</si>
</sst>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;-0.0%;-"/>
    <numFmt numFmtId="165" formatCode="dd-mmm-yyyy"/>
  </numFmts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name val="Arial"/>
    </font>
    <font>
      <name val="Arial"/>
    </font>
    <font>
      <b/>
      <name val="Arial"/>
    </font>
    <font>
      <i/>
      <sz val="9"/>
      <name val="Arial"/>
    </font>
    <font>
      <b/>
      <color rgb="FFFFFFFF"/>
      <sz val="10"/>
      <name val="Arial"/>
    </font>
    <font>
      <sz val="10"/>
      <name val="Arial"/>
    </font>
    <font>
      <u/>
      <color rgb="FF0563C1"/>
      <sz val="10"/>
      <name val="Arial"/>
    </font>
    <font>
      <b/>
      <sz val="12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165" fontId="7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reports/20261029-175151-regression/summary.md" TargetMode="External"/><Relationship Id="rId2" Type="http://schemas.openxmlformats.org/officeDocument/2006/relationships/hyperlink" Target="../reports/20261029-175151-regression/artifacts/2026-10-29_175154/MLGN-004 Spaces around the email are ignored/takeScreenshot/MLGN-004-home.png" TargetMode="External"/><Relationship Id="rId3" Type="http://schemas.openxmlformats.org/officeDocument/2006/relationships/hyperlink" Target="../reports/20261029-175151-regression/summary.md" TargetMode="External"/><Relationship Id="rId4" Type="http://schemas.openxmlformats.org/officeDocument/2006/relationships/hyperlink" Target="../reports/20261029-175151-regression/artifacts/2026-10-29_175154/MLGN-019 Create your workspace opens sign-up in the browser/takeScreenshot/MLGN-019-handoff.png" TargetMode="External"/><Relationship Id="rId5" Type="http://schemas.openxmlformats.org/officeDocument/2006/relationships/hyperlink" Target="../reports/20261029-175151-regression/artifacts/2026-10-29_175154/MLGN-021 Back on Home leaves the app without signing out/takeScreenshot/MLGN-021-home-after-relaunch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4" customWidth="1"/>
    <col min="2" max="9" width="15" customWidth="1"/>
  </cols>
  <sheetData>
    <row r="1" spans="1:1" x14ac:dyDescent="0.25">
      <c r="A1" s="1" t="s">
        <v>0</v>
      </c>
    </row>
    <row r="3" ht="32" customHeight="1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s="3" t="s">
        <v>10</v>
      </c>
      <c r="B4" s="4">
        <f>C4+D4</f>
        <v>24</v>
      </c>
      <c r="C4" s="4">
        <f>COUNTIF('Login'!U2:U75,"Automation")</f>
        <v>24</v>
      </c>
      <c r="D4" s="4">
        <f>COUNTIF('Login'!U2:U75,"Manual")</f>
        <v>0</v>
      </c>
      <c r="E4" s="4">
        <f>F4+G4</f>
        <v>6</v>
      </c>
      <c r="F4" s="4">
        <f>COUNTIF('Login'!Q2:Q75,"PASS")</f>
        <v>4</v>
      </c>
      <c r="G4" s="4">
        <f>COUNTIF('Login'!Q2:Q75,"FAIL")</f>
        <v>2</v>
      </c>
      <c r="H4" s="4">
        <f>B4-E4</f>
        <v>18</v>
      </c>
      <c r="I4" s="5">
        <f>IF(E4=0,0,F4/E4)</f>
        <v>0.6666666666666666</v>
      </c>
    </row>
    <row r="5" spans="1:9" x14ac:dyDescent="0.25">
      <c r="A5" s="6" t="s">
        <v>11</v>
      </c>
      <c r="B5" s="7">
        <f>SUM(B4:B4)</f>
        <v>24</v>
      </c>
      <c r="C5" s="7">
        <f>SUM(C4:C4)</f>
        <v>24</v>
      </c>
      <c r="D5" s="7">
        <f>SUM(D4:D4)</f>
      </c>
      <c r="E5" s="7">
        <f>SUM(E4:E4)</f>
        <v>6</v>
      </c>
      <c r="F5" s="7">
        <f>SUM(F4:F4)</f>
        <v>4</v>
      </c>
      <c r="G5" s="7">
        <f>SUM(G4:G4)</f>
        <v>2</v>
      </c>
      <c r="H5" s="7">
        <f>SUM(H4:H4)</f>
        <v>18</v>
      </c>
      <c r="I5" s="8">
        <f>IF(E5=0,0,F5/E5)</f>
        <v>0.6666666666666666</v>
      </c>
    </row>
    <row r="7" spans="1:1" x14ac:dyDescent="0.25">
      <c r="A7" s="9" t="s">
        <v>12</v>
      </c>
    </row>
    <row r="8" spans="1:1" x14ac:dyDescent="0.25">
      <c r="A8" s="9" t="s">
        <v>13</v>
      </c>
    </row>
    <row r="9" spans="1:1" x14ac:dyDescent="0.25">
      <c r="A9" s="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"/>
  <sheetViews>
    <sheetView workbookViewId="0">
      <pane xSplit="7" ySplit="1" topLeftCell="H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3" width="16" customWidth="1"/>
    <col min="4" max="4" width="13" customWidth="1"/>
    <col min="5" max="5" width="30" customWidth="1"/>
    <col min="6" max="6" width="12" customWidth="1"/>
    <col min="7" max="8" width="34" customWidth="1"/>
    <col min="9" max="9" width="26" customWidth="1"/>
    <col min="10" max="10" width="48" customWidth="1"/>
    <col min="11" max="11" width="34" customWidth="1"/>
    <col min="12" max="12" width="16" customWidth="1"/>
    <col min="13" max="13" width="20" customWidth="1"/>
    <col min="14" max="15" width="40" customWidth="1"/>
    <col min="16" max="16" width="34" customWidth="1"/>
    <col min="17" max="17" width="11" customWidth="1"/>
    <col min="18" max="18" width="10" customWidth="1"/>
    <col min="19" max="19" width="18" customWidth="1"/>
    <col min="20" max="21" width="14" customWidth="1"/>
    <col min="22" max="22" width="42" customWidth="1"/>
  </cols>
  <sheetData>
    <row r="1" ht="62" customHeight="1" spans="1:22" x14ac:dyDescent="0.25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10" t="s">
        <v>34</v>
      </c>
      <c r="U1" s="10" t="s">
        <v>35</v>
      </c>
      <c r="V1" s="10" t="s">
        <v>36</v>
      </c>
    </row>
    <row r="2" spans="1:22" x14ac:dyDescent="0.25">
      <c r="A2" s="11" t="s">
        <v>37</v>
      </c>
      <c r="B2" s="11" t="s">
        <v>10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  <c r="I2" s="11" t="s">
        <v>44</v>
      </c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1"/>
      <c r="P2" s="11"/>
      <c r="Q2" s="12"/>
      <c r="R2" s="11"/>
      <c r="S2" s="11"/>
      <c r="T2" s="13"/>
      <c r="U2" s="11" t="s">
        <v>3</v>
      </c>
      <c r="V2" s="11" t="s">
        <v>50</v>
      </c>
    </row>
    <row r="3" spans="1:22" x14ac:dyDescent="0.25">
      <c r="A3" s="11" t="s">
        <v>37</v>
      </c>
      <c r="B3" s="11" t="s">
        <v>10</v>
      </c>
      <c r="C3" s="11" t="s">
        <v>38</v>
      </c>
      <c r="D3" s="11" t="s">
        <v>39</v>
      </c>
      <c r="E3" s="11" t="s">
        <v>40</v>
      </c>
      <c r="F3" s="11" t="s">
        <v>51</v>
      </c>
      <c r="G3" s="11" t="s">
        <v>52</v>
      </c>
      <c r="H3" s="11" t="s">
        <v>43</v>
      </c>
      <c r="I3" s="11" t="s">
        <v>44</v>
      </c>
      <c r="J3" s="11" t="s">
        <v>53</v>
      </c>
      <c r="K3" s="11" t="s">
        <v>46</v>
      </c>
      <c r="L3" s="11" t="s">
        <v>54</v>
      </c>
      <c r="M3" s="11" t="s">
        <v>48</v>
      </c>
      <c r="N3" s="11" t="s">
        <v>55</v>
      </c>
      <c r="O3" s="11"/>
      <c r="P3" s="11"/>
      <c r="Q3" s="12"/>
      <c r="R3" s="11"/>
      <c r="S3" s="11"/>
      <c r="T3" s="13"/>
      <c r="U3" s="11" t="s">
        <v>3</v>
      </c>
      <c r="V3" s="11" t="s">
        <v>56</v>
      </c>
    </row>
    <row r="4" spans="1:22" x14ac:dyDescent="0.25">
      <c r="A4" s="11" t="s">
        <v>37</v>
      </c>
      <c r="B4" s="11" t="s">
        <v>10</v>
      </c>
      <c r="C4" s="11" t="s">
        <v>38</v>
      </c>
      <c r="D4" s="11" t="s">
        <v>39</v>
      </c>
      <c r="E4" s="11" t="s">
        <v>40</v>
      </c>
      <c r="F4" s="11" t="s">
        <v>57</v>
      </c>
      <c r="G4" s="11" t="s">
        <v>58</v>
      </c>
      <c r="H4" s="11" t="s">
        <v>43</v>
      </c>
      <c r="I4" s="11" t="s">
        <v>44</v>
      </c>
      <c r="J4" s="11" t="s">
        <v>59</v>
      </c>
      <c r="K4" s="11" t="s">
        <v>60</v>
      </c>
      <c r="L4" s="11" t="s">
        <v>54</v>
      </c>
      <c r="M4" s="11" t="s">
        <v>61</v>
      </c>
      <c r="N4" s="11" t="s">
        <v>55</v>
      </c>
      <c r="O4" s="11" t="s">
        <v>62</v>
      </c>
      <c r="P4" s="14" t="s">
        <v>63</v>
      </c>
      <c r="Q4" s="12" t="s">
        <v>7</v>
      </c>
      <c r="R4" s="11">
        <v>1</v>
      </c>
      <c r="S4" s="11" t="s">
        <v>64</v>
      </c>
      <c r="T4" s="13">
        <v>46324.51960648148</v>
      </c>
      <c r="U4" s="11" t="s">
        <v>3</v>
      </c>
      <c r="V4" s="11" t="s">
        <v>65</v>
      </c>
    </row>
    <row r="5" spans="1:22" x14ac:dyDescent="0.25">
      <c r="A5" s="11" t="s">
        <v>37</v>
      </c>
      <c r="B5" s="11" t="s">
        <v>10</v>
      </c>
      <c r="C5" s="11" t="s">
        <v>38</v>
      </c>
      <c r="D5" s="11" t="s">
        <v>39</v>
      </c>
      <c r="E5" s="11" t="s">
        <v>40</v>
      </c>
      <c r="F5" s="11" t="s">
        <v>66</v>
      </c>
      <c r="G5" s="11" t="s">
        <v>67</v>
      </c>
      <c r="H5" s="11" t="s">
        <v>43</v>
      </c>
      <c r="I5" s="11" t="s">
        <v>44</v>
      </c>
      <c r="J5" s="11" t="s">
        <v>68</v>
      </c>
      <c r="K5" s="11" t="s">
        <v>69</v>
      </c>
      <c r="L5" s="11" t="s">
        <v>54</v>
      </c>
      <c r="M5" s="11" t="s">
        <v>61</v>
      </c>
      <c r="N5" s="11" t="s">
        <v>70</v>
      </c>
      <c r="O5" s="11" t="s">
        <v>71</v>
      </c>
      <c r="P5" s="14" t="s">
        <v>72</v>
      </c>
      <c r="Q5" s="12" t="s">
        <v>6</v>
      </c>
      <c r="R5" s="11">
        <v>1</v>
      </c>
      <c r="S5" s="11" t="s">
        <v>64</v>
      </c>
      <c r="T5" s="13">
        <v>46324.51821759259</v>
      </c>
      <c r="U5" s="11" t="s">
        <v>3</v>
      </c>
      <c r="V5" s="11" t="s">
        <v>73</v>
      </c>
    </row>
    <row r="6" spans="1:22" x14ac:dyDescent="0.25">
      <c r="A6" s="11" t="s">
        <v>74</v>
      </c>
      <c r="B6" s="11" t="s">
        <v>10</v>
      </c>
      <c r="C6" s="11" t="s">
        <v>38</v>
      </c>
      <c r="D6" s="11" t="s">
        <v>75</v>
      </c>
      <c r="E6" s="11" t="s">
        <v>76</v>
      </c>
      <c r="F6" s="11" t="s">
        <v>77</v>
      </c>
      <c r="G6" s="11" t="s">
        <v>78</v>
      </c>
      <c r="H6" s="11" t="s">
        <v>43</v>
      </c>
      <c r="I6" s="11" t="s">
        <v>44</v>
      </c>
      <c r="J6" s="11" t="s">
        <v>79</v>
      </c>
      <c r="K6" s="11" t="s">
        <v>80</v>
      </c>
      <c r="L6" s="11" t="s">
        <v>54</v>
      </c>
      <c r="M6" s="11" t="s">
        <v>81</v>
      </c>
      <c r="N6" s="11" t="s">
        <v>82</v>
      </c>
      <c r="O6" s="11"/>
      <c r="P6" s="11"/>
      <c r="Q6" s="12"/>
      <c r="R6" s="11"/>
      <c r="S6" s="11"/>
      <c r="T6" s="13"/>
      <c r="U6" s="11" t="s">
        <v>3</v>
      </c>
      <c r="V6" s="11" t="s">
        <v>83</v>
      </c>
    </row>
    <row r="7" spans="1:22" x14ac:dyDescent="0.25">
      <c r="A7" s="11" t="s">
        <v>74</v>
      </c>
      <c r="B7" s="11" t="s">
        <v>10</v>
      </c>
      <c r="C7" s="11" t="s">
        <v>38</v>
      </c>
      <c r="D7" s="11" t="s">
        <v>75</v>
      </c>
      <c r="E7" s="11" t="s">
        <v>76</v>
      </c>
      <c r="F7" s="11" t="s">
        <v>84</v>
      </c>
      <c r="G7" s="11" t="s">
        <v>85</v>
      </c>
      <c r="H7" s="11" t="s">
        <v>86</v>
      </c>
      <c r="I7" s="11" t="s">
        <v>44</v>
      </c>
      <c r="J7" s="11" t="s">
        <v>87</v>
      </c>
      <c r="K7" s="11" t="s">
        <v>88</v>
      </c>
      <c r="L7" s="11" t="s">
        <v>54</v>
      </c>
      <c r="M7" s="11" t="s">
        <v>81</v>
      </c>
      <c r="N7" s="11" t="s">
        <v>89</v>
      </c>
      <c r="O7" s="11"/>
      <c r="P7" s="11"/>
      <c r="Q7" s="12"/>
      <c r="R7" s="11"/>
      <c r="S7" s="11"/>
      <c r="T7" s="13"/>
      <c r="U7" s="11" t="s">
        <v>3</v>
      </c>
      <c r="V7" s="11" t="s">
        <v>90</v>
      </c>
    </row>
    <row r="8" spans="1:22" x14ac:dyDescent="0.25">
      <c r="A8" s="11" t="s">
        <v>74</v>
      </c>
      <c r="B8" s="11" t="s">
        <v>10</v>
      </c>
      <c r="C8" s="11" t="s">
        <v>38</v>
      </c>
      <c r="D8" s="11" t="s">
        <v>75</v>
      </c>
      <c r="E8" s="11" t="s">
        <v>76</v>
      </c>
      <c r="F8" s="11" t="s">
        <v>91</v>
      </c>
      <c r="G8" s="11" t="s">
        <v>92</v>
      </c>
      <c r="H8" s="11" t="s">
        <v>43</v>
      </c>
      <c r="I8" s="11" t="s">
        <v>44</v>
      </c>
      <c r="J8" s="11" t="s">
        <v>93</v>
      </c>
      <c r="K8" s="11" t="s">
        <v>94</v>
      </c>
      <c r="L8" s="11" t="s">
        <v>54</v>
      </c>
      <c r="M8" s="11" t="s">
        <v>81</v>
      </c>
      <c r="N8" s="11" t="s">
        <v>95</v>
      </c>
      <c r="O8" s="11"/>
      <c r="P8" s="11"/>
      <c r="Q8" s="12"/>
      <c r="R8" s="11"/>
      <c r="S8" s="11"/>
      <c r="T8" s="13"/>
      <c r="U8" s="11" t="s">
        <v>3</v>
      </c>
      <c r="V8" s="11" t="s">
        <v>96</v>
      </c>
    </row>
    <row r="9" spans="1:22" x14ac:dyDescent="0.25">
      <c r="A9" s="11" t="s">
        <v>97</v>
      </c>
      <c r="B9" s="11" t="s">
        <v>10</v>
      </c>
      <c r="C9" s="11" t="s">
        <v>38</v>
      </c>
      <c r="D9" s="11" t="s">
        <v>98</v>
      </c>
      <c r="E9" s="11" t="s">
        <v>99</v>
      </c>
      <c r="F9" s="11" t="s">
        <v>100</v>
      </c>
      <c r="G9" s="11" t="s">
        <v>101</v>
      </c>
      <c r="H9" s="11" t="s">
        <v>86</v>
      </c>
      <c r="I9" s="11" t="s">
        <v>44</v>
      </c>
      <c r="J9" s="11" t="s">
        <v>102</v>
      </c>
      <c r="K9" s="11" t="s">
        <v>103</v>
      </c>
      <c r="L9" s="11" t="s">
        <v>54</v>
      </c>
      <c r="M9" s="11" t="s">
        <v>104</v>
      </c>
      <c r="N9" s="11" t="s">
        <v>105</v>
      </c>
      <c r="O9" s="11" t="s">
        <v>62</v>
      </c>
      <c r="P9" s="14" t="s">
        <v>63</v>
      </c>
      <c r="Q9" s="12" t="s">
        <v>7</v>
      </c>
      <c r="R9" s="11">
        <v>1</v>
      </c>
      <c r="S9" s="11" t="s">
        <v>64</v>
      </c>
      <c r="T9" s="13">
        <v>46324.52086805555</v>
      </c>
      <c r="U9" s="11" t="s">
        <v>3</v>
      </c>
      <c r="V9" s="11" t="s">
        <v>106</v>
      </c>
    </row>
    <row r="10" spans="1:22" x14ac:dyDescent="0.25">
      <c r="A10" s="11" t="s">
        <v>97</v>
      </c>
      <c r="B10" s="11" t="s">
        <v>10</v>
      </c>
      <c r="C10" s="11" t="s">
        <v>38</v>
      </c>
      <c r="D10" s="11" t="s">
        <v>98</v>
      </c>
      <c r="E10" s="11" t="s">
        <v>99</v>
      </c>
      <c r="F10" s="11" t="s">
        <v>107</v>
      </c>
      <c r="G10" s="11" t="s">
        <v>108</v>
      </c>
      <c r="H10" s="11" t="s">
        <v>86</v>
      </c>
      <c r="I10" s="11" t="s">
        <v>44</v>
      </c>
      <c r="J10" s="11" t="s">
        <v>109</v>
      </c>
      <c r="K10" s="11" t="s">
        <v>110</v>
      </c>
      <c r="L10" s="11" t="s">
        <v>54</v>
      </c>
      <c r="M10" s="11" t="s">
        <v>104</v>
      </c>
      <c r="N10" s="11" t="s">
        <v>111</v>
      </c>
      <c r="O10" s="11" t="s">
        <v>112</v>
      </c>
      <c r="P10" s="11" t="s">
        <v>113</v>
      </c>
      <c r="Q10" s="12" t="s">
        <v>6</v>
      </c>
      <c r="R10" s="11">
        <v>1</v>
      </c>
      <c r="S10" s="11" t="s">
        <v>64</v>
      </c>
      <c r="T10" s="13">
        <v>46324.517534722225</v>
      </c>
      <c r="U10" s="11" t="s">
        <v>3</v>
      </c>
      <c r="V10" s="11" t="s">
        <v>114</v>
      </c>
    </row>
    <row r="11" spans="1:22" x14ac:dyDescent="0.25">
      <c r="A11" s="11" t="s">
        <v>97</v>
      </c>
      <c r="B11" s="11" t="s">
        <v>10</v>
      </c>
      <c r="C11" s="11" t="s">
        <v>38</v>
      </c>
      <c r="D11" s="11" t="s">
        <v>98</v>
      </c>
      <c r="E11" s="11" t="s">
        <v>99</v>
      </c>
      <c r="F11" s="11" t="s">
        <v>115</v>
      </c>
      <c r="G11" s="11" t="s">
        <v>116</v>
      </c>
      <c r="H11" s="11" t="s">
        <v>86</v>
      </c>
      <c r="I11" s="11" t="s">
        <v>44</v>
      </c>
      <c r="J11" s="11" t="s">
        <v>117</v>
      </c>
      <c r="K11" s="11" t="s">
        <v>118</v>
      </c>
      <c r="L11" s="11" t="s">
        <v>54</v>
      </c>
      <c r="M11" s="11" t="s">
        <v>104</v>
      </c>
      <c r="N11" s="11" t="s">
        <v>119</v>
      </c>
      <c r="O11" s="11"/>
      <c r="P11" s="11"/>
      <c r="Q11" s="12"/>
      <c r="R11" s="11"/>
      <c r="S11" s="11"/>
      <c r="T11" s="13"/>
      <c r="U11" s="11" t="s">
        <v>3</v>
      </c>
      <c r="V11" s="11" t="s">
        <v>120</v>
      </c>
    </row>
    <row r="12" spans="1:22" x14ac:dyDescent="0.25">
      <c r="A12" s="11" t="s">
        <v>97</v>
      </c>
      <c r="B12" s="11" t="s">
        <v>10</v>
      </c>
      <c r="C12" s="11" t="s">
        <v>38</v>
      </c>
      <c r="D12" s="11" t="s">
        <v>98</v>
      </c>
      <c r="E12" s="11" t="s">
        <v>99</v>
      </c>
      <c r="F12" s="11" t="s">
        <v>121</v>
      </c>
      <c r="G12" s="11" t="s">
        <v>122</v>
      </c>
      <c r="H12" s="11" t="s">
        <v>86</v>
      </c>
      <c r="I12" s="11" t="s">
        <v>44</v>
      </c>
      <c r="J12" s="11" t="s">
        <v>123</v>
      </c>
      <c r="K12" s="11" t="s">
        <v>124</v>
      </c>
      <c r="L12" s="11" t="s">
        <v>54</v>
      </c>
      <c r="M12" s="11" t="s">
        <v>104</v>
      </c>
      <c r="N12" s="11" t="s">
        <v>125</v>
      </c>
      <c r="O12" s="11"/>
      <c r="P12" s="11"/>
      <c r="Q12" s="12"/>
      <c r="R12" s="11"/>
      <c r="S12" s="11"/>
      <c r="T12" s="13"/>
      <c r="U12" s="11" t="s">
        <v>3</v>
      </c>
      <c r="V12" s="11" t="s">
        <v>126</v>
      </c>
    </row>
    <row r="13" spans="1:22" x14ac:dyDescent="0.25">
      <c r="A13" s="11" t="s">
        <v>97</v>
      </c>
      <c r="B13" s="11" t="s">
        <v>10</v>
      </c>
      <c r="C13" s="11" t="s">
        <v>38</v>
      </c>
      <c r="D13" s="11" t="s">
        <v>98</v>
      </c>
      <c r="E13" s="11" t="s">
        <v>99</v>
      </c>
      <c r="F13" s="11" t="s">
        <v>127</v>
      </c>
      <c r="G13" s="11" t="s">
        <v>128</v>
      </c>
      <c r="H13" s="11" t="s">
        <v>86</v>
      </c>
      <c r="I13" s="11" t="s">
        <v>44</v>
      </c>
      <c r="J13" s="11" t="s">
        <v>129</v>
      </c>
      <c r="K13" s="11" t="s">
        <v>124</v>
      </c>
      <c r="L13" s="11" t="s">
        <v>54</v>
      </c>
      <c r="M13" s="11" t="s">
        <v>104</v>
      </c>
      <c r="N13" s="11" t="s">
        <v>130</v>
      </c>
      <c r="O13" s="11"/>
      <c r="P13" s="11"/>
      <c r="Q13" s="12"/>
      <c r="R13" s="11"/>
      <c r="S13" s="11"/>
      <c r="T13" s="13"/>
      <c r="U13" s="11" t="s">
        <v>3</v>
      </c>
      <c r="V13" s="11" t="s">
        <v>131</v>
      </c>
    </row>
    <row r="14" spans="1:22" x14ac:dyDescent="0.25">
      <c r="A14" s="11" t="s">
        <v>132</v>
      </c>
      <c r="B14" s="11" t="s">
        <v>10</v>
      </c>
      <c r="C14" s="11" t="s">
        <v>38</v>
      </c>
      <c r="D14" s="11" t="s">
        <v>133</v>
      </c>
      <c r="E14" s="11" t="s">
        <v>134</v>
      </c>
      <c r="F14" s="11" t="s">
        <v>135</v>
      </c>
      <c r="G14" s="11" t="s">
        <v>136</v>
      </c>
      <c r="H14" s="11" t="s">
        <v>86</v>
      </c>
      <c r="I14" s="11" t="s">
        <v>44</v>
      </c>
      <c r="J14" s="11" t="s">
        <v>137</v>
      </c>
      <c r="K14" s="11" t="s">
        <v>138</v>
      </c>
      <c r="L14" s="11" t="s">
        <v>54</v>
      </c>
      <c r="M14" s="11" t="s">
        <v>81</v>
      </c>
      <c r="N14" s="11" t="s">
        <v>139</v>
      </c>
      <c r="O14" s="11"/>
      <c r="P14" s="11"/>
      <c r="Q14" s="12"/>
      <c r="R14" s="11"/>
      <c r="S14" s="11"/>
      <c r="T14" s="13"/>
      <c r="U14" s="11" t="s">
        <v>3</v>
      </c>
      <c r="V14" s="11" t="s">
        <v>140</v>
      </c>
    </row>
    <row r="15" spans="1:22" x14ac:dyDescent="0.25">
      <c r="A15" s="11" t="s">
        <v>97</v>
      </c>
      <c r="B15" s="11" t="s">
        <v>10</v>
      </c>
      <c r="C15" s="11" t="s">
        <v>38</v>
      </c>
      <c r="D15" s="11" t="s">
        <v>98</v>
      </c>
      <c r="E15" s="11" t="s">
        <v>99</v>
      </c>
      <c r="F15" s="11" t="s">
        <v>141</v>
      </c>
      <c r="G15" s="11" t="s">
        <v>142</v>
      </c>
      <c r="H15" s="11" t="s">
        <v>86</v>
      </c>
      <c r="I15" s="11" t="s">
        <v>44</v>
      </c>
      <c r="J15" s="11" t="s">
        <v>143</v>
      </c>
      <c r="K15" s="11" t="s">
        <v>144</v>
      </c>
      <c r="L15" s="11" t="s">
        <v>54</v>
      </c>
      <c r="M15" s="11" t="s">
        <v>145</v>
      </c>
      <c r="N15" s="11" t="s">
        <v>146</v>
      </c>
      <c r="O15" s="11"/>
      <c r="P15" s="11"/>
      <c r="Q15" s="12"/>
      <c r="R15" s="11"/>
      <c r="S15" s="11"/>
      <c r="T15" s="13"/>
      <c r="U15" s="11" t="s">
        <v>3</v>
      </c>
      <c r="V15" s="11" t="s">
        <v>147</v>
      </c>
    </row>
    <row r="16" spans="1:22" x14ac:dyDescent="0.25">
      <c r="A16" s="11" t="s">
        <v>132</v>
      </c>
      <c r="B16" s="11" t="s">
        <v>10</v>
      </c>
      <c r="C16" s="11" t="s">
        <v>38</v>
      </c>
      <c r="D16" s="11" t="s">
        <v>133</v>
      </c>
      <c r="E16" s="11" t="s">
        <v>134</v>
      </c>
      <c r="F16" s="11" t="s">
        <v>148</v>
      </c>
      <c r="G16" s="11" t="s">
        <v>149</v>
      </c>
      <c r="H16" s="11" t="s">
        <v>86</v>
      </c>
      <c r="I16" s="11" t="s">
        <v>44</v>
      </c>
      <c r="J16" s="11" t="s">
        <v>150</v>
      </c>
      <c r="K16" s="11" t="s">
        <v>151</v>
      </c>
      <c r="L16" s="11" t="s">
        <v>54</v>
      </c>
      <c r="M16" s="11" t="s">
        <v>145</v>
      </c>
      <c r="N16" s="11" t="s">
        <v>152</v>
      </c>
      <c r="O16" s="11"/>
      <c r="P16" s="11"/>
      <c r="Q16" s="12"/>
      <c r="R16" s="11"/>
      <c r="S16" s="11"/>
      <c r="T16" s="13"/>
      <c r="U16" s="11" t="s">
        <v>3</v>
      </c>
      <c r="V16" s="11" t="s">
        <v>153</v>
      </c>
    </row>
    <row r="17" spans="1:22" x14ac:dyDescent="0.25">
      <c r="A17" s="11" t="s">
        <v>154</v>
      </c>
      <c r="B17" s="11" t="s">
        <v>10</v>
      </c>
      <c r="C17" s="11" t="s">
        <v>38</v>
      </c>
      <c r="D17" s="11" t="s">
        <v>155</v>
      </c>
      <c r="E17" s="11" t="s">
        <v>156</v>
      </c>
      <c r="F17" s="11" t="s">
        <v>157</v>
      </c>
      <c r="G17" s="11" t="s">
        <v>158</v>
      </c>
      <c r="H17" s="11" t="s">
        <v>86</v>
      </c>
      <c r="I17" s="11" t="s">
        <v>44</v>
      </c>
      <c r="J17" s="11" t="s">
        <v>159</v>
      </c>
      <c r="K17" s="11" t="s">
        <v>160</v>
      </c>
      <c r="L17" s="11" t="s">
        <v>47</v>
      </c>
      <c r="M17" s="11" t="s">
        <v>48</v>
      </c>
      <c r="N17" s="11" t="s">
        <v>161</v>
      </c>
      <c r="O17" s="11"/>
      <c r="P17" s="11"/>
      <c r="Q17" s="12"/>
      <c r="R17" s="11"/>
      <c r="S17" s="11"/>
      <c r="T17" s="13"/>
      <c r="U17" s="11" t="s">
        <v>3</v>
      </c>
      <c r="V17" s="11" t="s">
        <v>162</v>
      </c>
    </row>
    <row r="18" spans="1:22" x14ac:dyDescent="0.25">
      <c r="A18" s="11" t="s">
        <v>154</v>
      </c>
      <c r="B18" s="11" t="s">
        <v>10</v>
      </c>
      <c r="C18" s="11" t="s">
        <v>38</v>
      </c>
      <c r="D18" s="11" t="s">
        <v>155</v>
      </c>
      <c r="E18" s="11" t="s">
        <v>156</v>
      </c>
      <c r="F18" s="11" t="s">
        <v>163</v>
      </c>
      <c r="G18" s="11" t="s">
        <v>164</v>
      </c>
      <c r="H18" s="11" t="s">
        <v>86</v>
      </c>
      <c r="I18" s="11" t="s">
        <v>44</v>
      </c>
      <c r="J18" s="11" t="s">
        <v>165</v>
      </c>
      <c r="K18" s="11" t="s">
        <v>166</v>
      </c>
      <c r="L18" s="11" t="s">
        <v>54</v>
      </c>
      <c r="M18" s="11" t="s">
        <v>48</v>
      </c>
      <c r="N18" s="11" t="s">
        <v>167</v>
      </c>
      <c r="O18" s="11"/>
      <c r="P18" s="11"/>
      <c r="Q18" s="12"/>
      <c r="R18" s="11"/>
      <c r="S18" s="11"/>
      <c r="T18" s="13"/>
      <c r="U18" s="11" t="s">
        <v>3</v>
      </c>
      <c r="V18" s="11" t="s">
        <v>168</v>
      </c>
    </row>
    <row r="19" spans="1:22" x14ac:dyDescent="0.25">
      <c r="A19" s="11" t="s">
        <v>154</v>
      </c>
      <c r="B19" s="11" t="s">
        <v>10</v>
      </c>
      <c r="C19" s="11" t="s">
        <v>38</v>
      </c>
      <c r="D19" s="11" t="s">
        <v>155</v>
      </c>
      <c r="E19" s="11" t="s">
        <v>156</v>
      </c>
      <c r="F19" s="11" t="s">
        <v>169</v>
      </c>
      <c r="G19" s="11" t="s">
        <v>170</v>
      </c>
      <c r="H19" s="11" t="s">
        <v>86</v>
      </c>
      <c r="I19" s="11" t="s">
        <v>44</v>
      </c>
      <c r="J19" s="11" t="s">
        <v>171</v>
      </c>
      <c r="K19" s="11" t="s">
        <v>160</v>
      </c>
      <c r="L19" s="11" t="s">
        <v>54</v>
      </c>
      <c r="M19" s="11" t="s">
        <v>48</v>
      </c>
      <c r="N19" s="11" t="s">
        <v>172</v>
      </c>
      <c r="O19" s="11"/>
      <c r="P19" s="11"/>
      <c r="Q19" s="12"/>
      <c r="R19" s="11"/>
      <c r="S19" s="11"/>
      <c r="T19" s="13"/>
      <c r="U19" s="11" t="s">
        <v>3</v>
      </c>
      <c r="V19" s="11" t="s">
        <v>173</v>
      </c>
    </row>
    <row r="20" spans="1:22" x14ac:dyDescent="0.25">
      <c r="A20" s="11" t="s">
        <v>154</v>
      </c>
      <c r="B20" s="11" t="s">
        <v>10</v>
      </c>
      <c r="C20" s="11" t="s">
        <v>38</v>
      </c>
      <c r="D20" s="11" t="s">
        <v>155</v>
      </c>
      <c r="E20" s="11" t="s">
        <v>156</v>
      </c>
      <c r="F20" s="11" t="s">
        <v>174</v>
      </c>
      <c r="G20" s="11" t="s">
        <v>175</v>
      </c>
      <c r="H20" s="11" t="s">
        <v>86</v>
      </c>
      <c r="I20" s="11" t="s">
        <v>44</v>
      </c>
      <c r="J20" s="11" t="s">
        <v>176</v>
      </c>
      <c r="K20" s="11" t="s">
        <v>160</v>
      </c>
      <c r="L20" s="11" t="s">
        <v>54</v>
      </c>
      <c r="M20" s="11" t="s">
        <v>48</v>
      </c>
      <c r="N20" s="11" t="s">
        <v>177</v>
      </c>
      <c r="O20" s="11" t="s">
        <v>178</v>
      </c>
      <c r="P20" s="14" t="s">
        <v>179</v>
      </c>
      <c r="Q20" s="12" t="s">
        <v>6</v>
      </c>
      <c r="R20" s="11">
        <v>1</v>
      </c>
      <c r="S20" s="11" t="s">
        <v>64</v>
      </c>
      <c r="T20" s="13">
        <v>46324.51672453704</v>
      </c>
      <c r="U20" s="11" t="s">
        <v>3</v>
      </c>
      <c r="V20" s="11" t="s">
        <v>180</v>
      </c>
    </row>
    <row r="21" spans="1:22" x14ac:dyDescent="0.25">
      <c r="A21" s="11" t="s">
        <v>181</v>
      </c>
      <c r="B21" s="11" t="s">
        <v>10</v>
      </c>
      <c r="C21" s="11" t="s">
        <v>38</v>
      </c>
      <c r="D21" s="11" t="s">
        <v>182</v>
      </c>
      <c r="E21" s="11" t="s">
        <v>183</v>
      </c>
      <c r="F21" s="11" t="s">
        <v>184</v>
      </c>
      <c r="G21" s="11" t="s">
        <v>185</v>
      </c>
      <c r="H21" s="11" t="s">
        <v>43</v>
      </c>
      <c r="I21" s="11" t="s">
        <v>44</v>
      </c>
      <c r="J21" s="11" t="s">
        <v>186</v>
      </c>
      <c r="K21" s="11" t="s">
        <v>46</v>
      </c>
      <c r="L21" s="11" t="s">
        <v>54</v>
      </c>
      <c r="M21" s="11" t="s">
        <v>48</v>
      </c>
      <c r="N21" s="11" t="s">
        <v>187</v>
      </c>
      <c r="O21" s="11"/>
      <c r="P21" s="11"/>
      <c r="Q21" s="12"/>
      <c r="R21" s="11"/>
      <c r="S21" s="11"/>
      <c r="T21" s="13"/>
      <c r="U21" s="11" t="s">
        <v>3</v>
      </c>
      <c r="V21" s="11" t="s">
        <v>188</v>
      </c>
    </row>
    <row r="22" spans="1:22" x14ac:dyDescent="0.25">
      <c r="A22" s="11" t="s">
        <v>181</v>
      </c>
      <c r="B22" s="11" t="s">
        <v>10</v>
      </c>
      <c r="C22" s="11" t="s">
        <v>38</v>
      </c>
      <c r="D22" s="11" t="s">
        <v>182</v>
      </c>
      <c r="E22" s="11" t="s">
        <v>183</v>
      </c>
      <c r="F22" s="11" t="s">
        <v>189</v>
      </c>
      <c r="G22" s="11" t="s">
        <v>190</v>
      </c>
      <c r="H22" s="11" t="s">
        <v>43</v>
      </c>
      <c r="I22" s="11" t="s">
        <v>44</v>
      </c>
      <c r="J22" s="11" t="s">
        <v>191</v>
      </c>
      <c r="K22" s="11" t="s">
        <v>46</v>
      </c>
      <c r="L22" s="11" t="s">
        <v>54</v>
      </c>
      <c r="M22" s="11" t="s">
        <v>48</v>
      </c>
      <c r="N22" s="11" t="s">
        <v>192</v>
      </c>
      <c r="O22" s="11" t="s">
        <v>193</v>
      </c>
      <c r="P22" s="14" t="s">
        <v>194</v>
      </c>
      <c r="Q22" s="12" t="s">
        <v>6</v>
      </c>
      <c r="R22" s="11">
        <v>1</v>
      </c>
      <c r="S22" s="11" t="s">
        <v>64</v>
      </c>
      <c r="T22" s="13">
        <v>46324.51568287037</v>
      </c>
      <c r="U22" s="11" t="s">
        <v>3</v>
      </c>
      <c r="V22" s="11" t="s">
        <v>195</v>
      </c>
    </row>
    <row r="23" spans="1:22" x14ac:dyDescent="0.25">
      <c r="A23" s="11" t="s">
        <v>196</v>
      </c>
      <c r="B23" s="11" t="s">
        <v>10</v>
      </c>
      <c r="C23" s="11" t="s">
        <v>38</v>
      </c>
      <c r="D23" s="11" t="s">
        <v>197</v>
      </c>
      <c r="E23" s="11" t="s">
        <v>198</v>
      </c>
      <c r="F23" s="11" t="s">
        <v>199</v>
      </c>
      <c r="G23" s="11" t="s">
        <v>200</v>
      </c>
      <c r="H23" s="11" t="s">
        <v>43</v>
      </c>
      <c r="I23" s="11" t="s">
        <v>44</v>
      </c>
      <c r="J23" s="11" t="s">
        <v>201</v>
      </c>
      <c r="K23" s="11" t="s">
        <v>46</v>
      </c>
      <c r="L23" s="11" t="s">
        <v>54</v>
      </c>
      <c r="M23" s="11" t="s">
        <v>48</v>
      </c>
      <c r="N23" s="11" t="s">
        <v>202</v>
      </c>
      <c r="O23" s="11"/>
      <c r="P23" s="11"/>
      <c r="Q23" s="12"/>
      <c r="R23" s="11"/>
      <c r="S23" s="11"/>
      <c r="T23" s="13"/>
      <c r="U23" s="11" t="s">
        <v>3</v>
      </c>
      <c r="V23" s="11" t="s">
        <v>203</v>
      </c>
    </row>
    <row r="24" spans="1:22" x14ac:dyDescent="0.25">
      <c r="A24" s="11" t="s">
        <v>196</v>
      </c>
      <c r="B24" s="11" t="s">
        <v>10</v>
      </c>
      <c r="C24" s="11" t="s">
        <v>38</v>
      </c>
      <c r="D24" s="11" t="s">
        <v>197</v>
      </c>
      <c r="E24" s="11" t="s">
        <v>198</v>
      </c>
      <c r="F24" s="11" t="s">
        <v>204</v>
      </c>
      <c r="G24" s="11" t="s">
        <v>205</v>
      </c>
      <c r="H24" s="11" t="s">
        <v>43</v>
      </c>
      <c r="I24" s="11" t="s">
        <v>44</v>
      </c>
      <c r="J24" s="11" t="s">
        <v>206</v>
      </c>
      <c r="K24" s="11" t="s">
        <v>46</v>
      </c>
      <c r="L24" s="11" t="s">
        <v>54</v>
      </c>
      <c r="M24" s="11" t="s">
        <v>48</v>
      </c>
      <c r="N24" s="11" t="s">
        <v>207</v>
      </c>
      <c r="O24" s="11"/>
      <c r="P24" s="11"/>
      <c r="Q24" s="12"/>
      <c r="R24" s="11"/>
      <c r="S24" s="11"/>
      <c r="T24" s="13"/>
      <c r="U24" s="11" t="s">
        <v>3</v>
      </c>
      <c r="V24" s="11" t="s">
        <v>208</v>
      </c>
    </row>
    <row r="25" spans="1:22" x14ac:dyDescent="0.25">
      <c r="A25" s="11" t="s">
        <v>209</v>
      </c>
      <c r="B25" s="11" t="s">
        <v>10</v>
      </c>
      <c r="C25" s="11" t="s">
        <v>38</v>
      </c>
      <c r="D25" s="11" t="s">
        <v>210</v>
      </c>
      <c r="E25" s="11" t="s">
        <v>211</v>
      </c>
      <c r="F25" s="11" t="s">
        <v>212</v>
      </c>
      <c r="G25" s="11" t="s">
        <v>213</v>
      </c>
      <c r="H25" s="11" t="s">
        <v>214</v>
      </c>
      <c r="I25" s="11" t="s">
        <v>44</v>
      </c>
      <c r="J25" s="11" t="s">
        <v>215</v>
      </c>
      <c r="K25" s="11" t="s">
        <v>46</v>
      </c>
      <c r="L25" s="11" t="s">
        <v>54</v>
      </c>
      <c r="M25" s="11" t="s">
        <v>216</v>
      </c>
      <c r="N25" s="11" t="s">
        <v>217</v>
      </c>
      <c r="O25" s="11"/>
      <c r="P25" s="11"/>
      <c r="Q25" s="12"/>
      <c r="R25" s="11"/>
      <c r="S25" s="11"/>
      <c r="T25" s="13"/>
      <c r="U25" s="11" t="s">
        <v>3</v>
      </c>
      <c r="V25" s="11" t="s">
        <v>218</v>
      </c>
    </row>
    <row r="26" spans="12:21" x14ac:dyDescent="0.25"/>
    <row r="27" spans="12:21" x14ac:dyDescent="0.25"/>
    <row r="28" spans="12:21" x14ac:dyDescent="0.25"/>
    <row r="29" spans="12:21" x14ac:dyDescent="0.25"/>
    <row r="30" spans="12:21" x14ac:dyDescent="0.25"/>
    <row r="31" spans="12:21" x14ac:dyDescent="0.25"/>
    <row r="32" spans="12:21" x14ac:dyDescent="0.25"/>
    <row r="33" spans="12:21" x14ac:dyDescent="0.25"/>
    <row r="34" spans="12:21" x14ac:dyDescent="0.25"/>
    <row r="35" spans="12:21" x14ac:dyDescent="0.25"/>
    <row r="36" spans="12:21" x14ac:dyDescent="0.25"/>
    <row r="37" spans="12:21" x14ac:dyDescent="0.25"/>
    <row r="38" spans="12:21" x14ac:dyDescent="0.25"/>
    <row r="39" spans="12:21" x14ac:dyDescent="0.25"/>
    <row r="40" spans="12:21" x14ac:dyDescent="0.25"/>
    <row r="41" spans="12:21" x14ac:dyDescent="0.25"/>
    <row r="42" spans="12:21" x14ac:dyDescent="0.25"/>
    <row r="43" spans="12:21" x14ac:dyDescent="0.25"/>
    <row r="44" spans="12:21" x14ac:dyDescent="0.25"/>
    <row r="45" spans="12:21" x14ac:dyDescent="0.25"/>
    <row r="46" spans="12:21" x14ac:dyDescent="0.25"/>
    <row r="47" spans="12:21" x14ac:dyDescent="0.25"/>
    <row r="48" spans="12:21" x14ac:dyDescent="0.25"/>
    <row r="49" spans="12:21" x14ac:dyDescent="0.25"/>
    <row r="50" spans="12:21" x14ac:dyDescent="0.25"/>
    <row r="51" spans="12:21" x14ac:dyDescent="0.25"/>
    <row r="52" spans="12:21" x14ac:dyDescent="0.25"/>
    <row r="53" spans="12:21" x14ac:dyDescent="0.25"/>
    <row r="54" spans="12:21" x14ac:dyDescent="0.25"/>
    <row r="55" spans="12:21" x14ac:dyDescent="0.25"/>
    <row r="56" spans="12:21" x14ac:dyDescent="0.25"/>
    <row r="57" spans="12:21" x14ac:dyDescent="0.25"/>
    <row r="58" spans="12:21" x14ac:dyDescent="0.25"/>
    <row r="59" spans="12:21" x14ac:dyDescent="0.25"/>
    <row r="60" spans="12:21" x14ac:dyDescent="0.25"/>
    <row r="61" spans="12:21" x14ac:dyDescent="0.25"/>
    <row r="62" spans="12:21" x14ac:dyDescent="0.25"/>
    <row r="63" spans="12:21" x14ac:dyDescent="0.25"/>
    <row r="64" spans="12:21" x14ac:dyDescent="0.25"/>
    <row r="65" spans="12:21" x14ac:dyDescent="0.25"/>
    <row r="66" spans="12:21" x14ac:dyDescent="0.25"/>
    <row r="67" spans="12:21" x14ac:dyDescent="0.25"/>
    <row r="68" spans="12:21" x14ac:dyDescent="0.25"/>
    <row r="69" spans="12:21" x14ac:dyDescent="0.25"/>
    <row r="70" spans="12:21" x14ac:dyDescent="0.25"/>
    <row r="71" spans="12:21" x14ac:dyDescent="0.25"/>
    <row r="72" spans="12:21" x14ac:dyDescent="0.25"/>
    <row r="73" spans="12:21" x14ac:dyDescent="0.25"/>
    <row r="74" spans="12:21" x14ac:dyDescent="0.25"/>
    <row r="75" spans="12:21" x14ac:dyDescent="0.25"/>
  </sheetData>
  <autoFilter ref="A1:V25"/>
  <conditionalFormatting sqref="Q2:Q75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8">
    <dataValidation type="list" allowBlank="1" sqref="L10:L75">
      <formula1>"Smoke,Functional,Regression,UAT,API"</formula1>
    </dataValidation>
    <dataValidation type="list" allowBlank="1" sqref="L2:L75">
      <formula1>"Smoke,Functional,Regression,UAT,API"</formula1>
    </dataValidation>
    <dataValidation type="list" allowBlank="1" sqref="M10:M75">
      <formula1>"Positive,Negative,Boundary Value,Equivalence Partitioning,Error Handling,Validation"</formula1>
    </dataValidation>
    <dataValidation type="list" allowBlank="1" sqref="M2:M75">
      <formula1>"Positive,Negative,Boundary Value,Equivalence Partitioning,Error Handling,Validation"</formula1>
    </dataValidation>
    <dataValidation type="list" allowBlank="1" sqref="Q10:Q75">
      <formula1>"PASS,FAIL"</formula1>
    </dataValidation>
    <dataValidation type="list" allowBlank="1" sqref="Q2:Q75">
      <formula1>"PASS,FAIL"</formula1>
    </dataValidation>
    <dataValidation type="list" allowBlank="1" sqref="U10:U75">
      <formula1>"Manual,Automation,Removed"</formula1>
    </dataValidation>
    <dataValidation type="list" allowBlank="1" sqref="U2:U75">
      <formula1>"Manual,Automation,Removed"</formula1>
    </dataValidation>
  </dataValidations>
  <hyperlinks>
    <hyperlink ref="P4" r:id="rId1"/>
    <hyperlink ref="P5" r:id="rId2"/>
    <hyperlink ref="P9" r:id="rId3"/>
    <hyperlink ref="P20" r:id="rId4"/>
    <hyperlink ref="P22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5" t="s">
        <v>219</v>
      </c>
      <c r="B1" s="16" t="s">
        <v>220</v>
      </c>
    </row>
    <row r="2" spans="1:2" x14ac:dyDescent="0.25">
      <c r="A2" s="17" t="s">
        <v>221</v>
      </c>
      <c r="B2" s="16" t="s">
        <v>222</v>
      </c>
    </row>
    <row r="3" spans="1:2" x14ac:dyDescent="0.25">
      <c r="A3" s="17" t="s">
        <v>223</v>
      </c>
      <c r="B3" s="16" t="s">
        <v>224</v>
      </c>
    </row>
    <row r="4" spans="1:2" x14ac:dyDescent="0.25">
      <c r="A4" s="17" t="s">
        <v>225</v>
      </c>
      <c r="B4" s="16" t="s">
        <v>226</v>
      </c>
    </row>
    <row r="5" spans="1:2" x14ac:dyDescent="0.25">
      <c r="A5" s="17" t="s">
        <v>33</v>
      </c>
      <c r="B5" s="16" t="s">
        <v>227</v>
      </c>
    </row>
    <row r="6" spans="1:2" x14ac:dyDescent="0.25">
      <c r="A6" s="17" t="s">
        <v>23</v>
      </c>
      <c r="B6" s="16" t="s">
        <v>228</v>
      </c>
    </row>
    <row r="7" spans="1:2" x14ac:dyDescent="0.25">
      <c r="A7" s="17" t="s">
        <v>229</v>
      </c>
      <c r="B7" s="16" t="s">
        <v>230</v>
      </c>
    </row>
    <row r="8" spans="1:2" x14ac:dyDescent="0.25">
      <c r="A8" s="17" t="s">
        <v>32</v>
      </c>
      <c r="B8" s="16" t="s">
        <v>231</v>
      </c>
    </row>
    <row r="9" spans="1:2" x14ac:dyDescent="0.25">
      <c r="A9" s="17" t="s">
        <v>232</v>
      </c>
      <c r="B9" s="16" t="s">
        <v>233</v>
      </c>
    </row>
    <row r="10" spans="1:2" x14ac:dyDescent="0.25">
      <c r="A10" s="17" t="s">
        <v>234</v>
      </c>
      <c r="B10" s="16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Login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SalesHiker Mobile QA automation</dc:creator>
  <dc:title/>
  <dc:subject/>
  <dc:description/>
  <cp:keywords/>
  <cp:category/>
  <cp:lastModifiedBy>Unknown</cp:lastModifiedBy>
  <dcterms:created xsi:type="dcterms:W3CDTF">2026-10-29T12:34:10Z</dcterms:created>
  <dcterms:modified xsi:type="dcterms:W3CDTF">2026-10-29T12:34:10Z</dcterms:modified>
</cp:coreProperties>
</file>