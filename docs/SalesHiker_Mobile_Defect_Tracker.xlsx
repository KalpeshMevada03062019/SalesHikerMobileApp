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ogin" state="visible" r:id="rId4"/>
    <sheet sheetId="2" name="Summary" state="visible" r:id="rId5"/>
  </sheets>
  <calcPr calcId="171027" fullCalcOnLoad="1"/>
</workbook>
</file>

<file path=xl/sharedStrings.xml><?xml version="1.0" encoding="utf-8"?>
<sst xmlns="http://schemas.openxmlformats.org/spreadsheetml/2006/main" count="107" uniqueCount="67">
  <si>
    <t>No#</t>
  </si>
  <si>
    <t>Module/Screen / Extension</t>
  </si>
  <si>
    <t>Section / Category</t>
  </si>
  <si>
    <t>Task / Bugs / Enhacement</t>
  </si>
  <si>
    <t xml:space="preserve">Steps to Reproduce 
(If required)</t>
  </si>
  <si>
    <t>Expected Result</t>
  </si>
  <si>
    <t>Actual Result</t>
  </si>
  <si>
    <t>Date</t>
  </si>
  <si>
    <t>Issue Type</t>
  </si>
  <si>
    <t>Severity</t>
  </si>
  <si>
    <t>Priority</t>
  </si>
  <si>
    <t>Status</t>
  </si>
  <si>
    <t>Test Environment</t>
  </si>
  <si>
    <t>Screenshot/Video</t>
  </si>
  <si>
    <t xml:space="preserve">Reopen SS/Video
&amp;
Description</t>
  </si>
  <si>
    <t>Assigned To</t>
  </si>
  <si>
    <t>Closed / Resolved by</t>
  </si>
  <si>
    <t>Requested by</t>
  </si>
  <si>
    <t>QA Comment</t>
  </si>
  <si>
    <t>Developer / Designer Comment</t>
  </si>
  <si>
    <t>Closed Date</t>
  </si>
  <si>
    <t>Login (mobile sign-in)</t>
  </si>
  <si>
    <t>Validation</t>
  </si>
  <si>
    <t>MLGN-D01 - Sign-in request is sent even though the email failed the app's own format check</t>
  </si>
  <si>
    <t xml:space="preserve">1. Launch the app (signed out).
2. Email: not-an-email
3. Password: Secret123
4. Tap "Sign in".</t>
  </si>
  <si>
    <t>Only the inline error "Enter a full email, like you@company.com." is shown and no request is made, the same way empty fields are blocked (MLGN-008).</t>
  </si>
  <si>
    <t>The inline error is shown, but the form is submitted anyway: the button changes to "Signing in..." and the server then answers with a second banner, "Invalid email". The user sees two messages for one problem, and the backend receives a request the client already knew was invalid. Also seen with the SQL-injection input (MLGN-013).</t>
  </si>
  <si>
    <t>Bug</t>
  </si>
  <si>
    <t>Low</t>
  </si>
  <si>
    <t>P4 - Low</t>
  </si>
  <si>
    <t>Open</t>
  </si>
  <si>
    <t>Beta - Android 15 emulator, app 1.0.0</t>
  </si>
  <si>
    <t/>
  </si>
  <si>
    <t>Automated test: MLGN-012 (.maestro/flows/regression/login-malformed-email-not-sent.yaml). Reproduced on Android 15 (API 35) and Android 17 (API 37) emulators. The test is left failing on purpose until this is fixed.</t>
  </si>
  <si>
    <t>MLGN-D02 - No client-side length check on the email field</t>
  </si>
  <si>
    <t xml:space="preserve">1. Launch the app (signed out).
2. Email: 250 x "a" + "@example.com"
3. Password: Secret123
4. Tap "Sign in".</t>
  </si>
  <si>
    <t>The app rejects an address whose part before "@" exceeds 64 characters (RFC 5321) before sending it, or caps the field length.</t>
  </si>
  <si>
    <t>The full value is accepted and sent; the server replies "Email or password is wrong.". No crash, and the generic message is acceptable, but invalid input still reaches the backend.</t>
  </si>
  <si>
    <t>Observation</t>
  </si>
  <si>
    <t>Needs Decision</t>
  </si>
  <si>
    <t>Automated test: MLGN-015 passes (it checks that the app copes safely). Product to decide whether a client-side limit is wanted.</t>
  </si>
  <si>
    <t>Testability</t>
  </si>
  <si>
    <t>MLGN-D03 - Sign-in controls have no testID / resource-id</t>
  </si>
  <si>
    <t xml:space="preserve">1. Open the sign-in screen.
2. Inspect the view hierarchy (maestro hierarchy, or uiautomator dump).</t>
  </si>
  <si>
    <t>Inputs, buttons and links expose stable ids (React Native testID), e.g. login-email, login-password, login-submit.</t>
  </si>
  <si>
    <t>No app resource-ids exist. Automation has to use accessibility labels, which change with copy or localisation.</t>
  </si>
  <si>
    <t>Enhancement</t>
  </si>
  <si>
    <t>Hierarchy dump: reports/*-evidence-*/hierarchy.csv (no com.saleshiker.app:id/* except action_bar_root)</t>
  </si>
  <si>
    <t>Not a functional defect. Once ids are added, only the page objects in .maestro/pages/ need updating.</t>
  </si>
  <si>
    <t>Stability</t>
  </si>
  <si>
    <t>MLGN-D04 - Native crash (SIGSEGV in RenderThread) seen once on an unstable emulator</t>
  </si>
  <si>
    <t>Seen once on 2026-10-29 13:48 on the Android 17 (API 37) Google Play emulator while its SystemUI was crash-looping. No reliable steps yet.</t>
  </si>
  <si>
    <t>The app does not crash.</t>
  </si>
  <si>
    <t>logcat: "Fatal signal 11 (SIGSEGV), code 1 (SEGV_MAPERR), fault addr 0x4 in tid RenderThread (.saleshiker.app)".</t>
  </si>
  <si>
    <t>Medium</t>
  </si>
  <si>
    <t>P3 - Medium</t>
  </si>
  <si>
    <t>docs/DEFECT_TRACKER.md (OBS-002); device crash buffer of the API 37 emulator</t>
  </si>
  <si>
    <t>Not reproduced on the healthy Android 15 emulator in any login run (0 crashes). Not attributed to the app yet: the device itself was failing. Every run saves logcat.crash.txt, so watch for a repeat.</t>
  </si>
  <si>
    <t>Module</t>
  </si>
  <si>
    <t>Total</t>
  </si>
  <si>
    <t>In Progress</t>
  </si>
  <si>
    <t>Ready for Retest</t>
  </si>
  <si>
    <t>Reopened</t>
  </si>
  <si>
    <t>Closed</t>
  </si>
  <si>
    <t>Won't Fix</t>
  </si>
  <si>
    <t>Critical</t>
  </si>
  <si>
    <t>High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</si>
</sst>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-mmm-yyyy"/>
  </numFmts>
  <fonts count="6" x14ac:knownFonts="1">
    <font>
      <color theme="1"/>
      <family val="2"/>
      <scheme val="minor"/>
      <sz val="11"/>
      <name val="Calibri"/>
    </font>
    <font>
      <b/>
      <color rgb="FFFFFFFF"/>
      <sz val="10"/>
      <name val="Arial"/>
    </font>
    <font>
      <sz val="10"/>
      <name val="Arial"/>
    </font>
    <font>
      <b/>
      <color rgb="FFFFFFFF"/>
      <name val="Arial"/>
    </font>
    <font>
      <u/>
      <color rgb="FF0563C1"/>
      <name val="Arial"/>
    </font>
    <font>
      <name val="Arial"/>
    </font>
  </fonts>
  <fills count="5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92D050"/>
      </patternFill>
    </fill>
    <fill>
      <patternFill patternType="solid">
        <fgColor rgb="FFFFC000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top"/>
    </xf>
    <xf numFmtId="0" fontId="2" fillId="0" borderId="1" xfId="0" applyFont="1" applyBorder="1" applyAlignment="1">
      <alignment vertical="top" wrapText="1"/>
    </xf>
    <xf numFmtId="164" fontId="2" fillId="0" borderId="1" xfId="0" applyNumberFormat="1" applyFont="1" applyBorder="1" applyAlignment="1">
      <alignment vertical="top" wrapText="1"/>
    </xf>
    <xf numFmtId="0" fontId="2" fillId="3" borderId="1" xfId="0" applyFont="1" applyFill="1" applyBorder="1" applyAlignment="1">
      <alignment vertical="top" wrapText="1"/>
    </xf>
    <xf numFmtId="0" fontId="2" fillId="4" borderId="1" xfId="0" applyFont="1" applyFill="1" applyBorder="1" applyAlignment="1">
      <alignment vertical="top" wrapText="1"/>
    </xf>
    <xf numFmtId="0" fontId="3" fillId="2" borderId="0" xfId="0" applyFont="1" applyFill="1" applyAlignment="1">
      <alignment horizontal="center" vertical="center" wrapText="1"/>
    </xf>
    <xf numFmtId="0" fontId="4" fillId="0" borderId="0" xfId="0" applyFont="1"/>
    <xf numFmtId="0" fontId="5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Login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202"/>
  <sheetViews>
    <sheetView workbookViewId="0">
      <pane xSplit="4" ySplit="1" topLeftCell="E2" activePane="bottomRight" state="frozen"/>
      <selection pane="bottomRight"/>
    </sheetView>
  </sheetViews>
  <sheetFormatPr defaultRowHeight="15" outlineLevelRow="0" outlineLevelCol="0" x14ac:dyDescent="55"/>
  <cols>
    <col min="1" max="1" width="6" customWidth="1"/>
    <col min="2" max="2" width="22" customWidth="1"/>
    <col min="3" max="3" width="18" customWidth="1"/>
    <col min="4" max="4" width="40" customWidth="1"/>
    <col min="5" max="5" width="60" customWidth="1"/>
    <col min="6" max="6" width="40" customWidth="1"/>
    <col min="7" max="7" width="45" customWidth="1"/>
    <col min="8" max="8" width="12" customWidth="1"/>
    <col min="9" max="9" width="14" customWidth="1"/>
    <col min="10" max="10" width="11" customWidth="1"/>
    <col min="11" max="11" width="13" customWidth="1"/>
    <col min="12" max="12" width="16" customWidth="1"/>
    <col min="13" max="13" width="24" customWidth="1"/>
    <col min="14" max="14" width="36" customWidth="1"/>
    <col min="15" max="15" width="20" customWidth="1"/>
    <col min="16" max="18" width="14" customWidth="1"/>
    <col min="19" max="19" width="45" customWidth="1"/>
    <col min="20" max="20" width="30" customWidth="1"/>
    <col min="21" max="21" width="12" customWidth="1"/>
  </cols>
  <sheetData>
    <row r="1" ht="48" customHeight="1" spans="1:2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</row>
    <row r="2" spans="1:21" x14ac:dyDescent="0.25">
      <c r="A2" s="2">
        <v>1</v>
      </c>
      <c r="B2" s="3" t="s">
        <v>21</v>
      </c>
      <c r="C2" s="3" t="s">
        <v>22</v>
      </c>
      <c r="D2" s="3" t="s">
        <v>23</v>
      </c>
      <c r="E2" s="3" t="s">
        <v>24</v>
      </c>
      <c r="F2" s="3" t="s">
        <v>25</v>
      </c>
      <c r="G2" s="3" t="s">
        <v>26</v>
      </c>
      <c r="H2" s="4">
        <v>46324.523748611115</v>
      </c>
      <c r="I2" s="3" t="s">
        <v>27</v>
      </c>
      <c r="J2" s="5" t="s">
        <v>28</v>
      </c>
      <c r="K2" s="3" t="s">
        <v>29</v>
      </c>
      <c r="L2" s="3" t="s">
        <v>30</v>
      </c>
      <c r="M2" s="3" t="s">
        <v>31</v>
      </c>
      <c r="N2" s="3" t="s">
        <v>32</v>
      </c>
      <c r="O2" s="3" t="s">
        <v>32</v>
      </c>
      <c r="P2" s="3" t="s">
        <v>32</v>
      </c>
      <c r="Q2" s="3" t="s">
        <v>32</v>
      </c>
      <c r="R2" s="3" t="s">
        <v>32</v>
      </c>
      <c r="S2" s="3" t="s">
        <v>33</v>
      </c>
      <c r="T2" s="3" t="s">
        <v>32</v>
      </c>
      <c r="U2" s="4"/>
    </row>
    <row r="3" spans="1:21" x14ac:dyDescent="0.25">
      <c r="A3" s="2">
        <v>2</v>
      </c>
      <c r="B3" s="3" t="s">
        <v>21</v>
      </c>
      <c r="C3" s="3" t="s">
        <v>22</v>
      </c>
      <c r="D3" s="3" t="s">
        <v>34</v>
      </c>
      <c r="E3" s="3" t="s">
        <v>35</v>
      </c>
      <c r="F3" s="3" t="s">
        <v>36</v>
      </c>
      <c r="G3" s="3" t="s">
        <v>37</v>
      </c>
      <c r="H3" s="4">
        <v>46324.523748611115</v>
      </c>
      <c r="I3" s="3" t="s">
        <v>38</v>
      </c>
      <c r="J3" s="5" t="s">
        <v>28</v>
      </c>
      <c r="K3" s="3" t="s">
        <v>29</v>
      </c>
      <c r="L3" s="3" t="s">
        <v>39</v>
      </c>
      <c r="M3" s="3" t="s">
        <v>31</v>
      </c>
      <c r="N3" s="3" t="s">
        <v>32</v>
      </c>
      <c r="O3" s="3" t="s">
        <v>32</v>
      </c>
      <c r="P3" s="3" t="s">
        <v>32</v>
      </c>
      <c r="Q3" s="3" t="s">
        <v>32</v>
      </c>
      <c r="R3" s="3" t="s">
        <v>32</v>
      </c>
      <c r="S3" s="3" t="s">
        <v>40</v>
      </c>
      <c r="T3" s="3" t="s">
        <v>32</v>
      </c>
      <c r="U3" s="4"/>
    </row>
    <row r="4" spans="1:21" x14ac:dyDescent="0.25">
      <c r="A4" s="2">
        <v>3</v>
      </c>
      <c r="B4" s="3" t="s">
        <v>21</v>
      </c>
      <c r="C4" s="3" t="s">
        <v>41</v>
      </c>
      <c r="D4" s="3" t="s">
        <v>42</v>
      </c>
      <c r="E4" s="3" t="s">
        <v>43</v>
      </c>
      <c r="F4" s="3" t="s">
        <v>44</v>
      </c>
      <c r="G4" s="3" t="s">
        <v>45</v>
      </c>
      <c r="H4" s="4">
        <v>46324.523748611115</v>
      </c>
      <c r="I4" s="3" t="s">
        <v>46</v>
      </c>
      <c r="J4" s="5" t="s">
        <v>28</v>
      </c>
      <c r="K4" s="3" t="s">
        <v>29</v>
      </c>
      <c r="L4" s="3" t="s">
        <v>30</v>
      </c>
      <c r="M4" s="3" t="s">
        <v>31</v>
      </c>
      <c r="N4" s="3" t="s">
        <v>47</v>
      </c>
      <c r="O4" s="3" t="s">
        <v>32</v>
      </c>
      <c r="P4" s="3" t="s">
        <v>32</v>
      </c>
      <c r="Q4" s="3" t="s">
        <v>32</v>
      </c>
      <c r="R4" s="3" t="s">
        <v>32</v>
      </c>
      <c r="S4" s="3" t="s">
        <v>48</v>
      </c>
      <c r="T4" s="3" t="s">
        <v>32</v>
      </c>
      <c r="U4" s="4"/>
    </row>
    <row r="5" spans="1:21" x14ac:dyDescent="0.25">
      <c r="A5" s="2">
        <v>4</v>
      </c>
      <c r="B5" s="3" t="s">
        <v>21</v>
      </c>
      <c r="C5" s="3" t="s">
        <v>49</v>
      </c>
      <c r="D5" s="3" t="s">
        <v>50</v>
      </c>
      <c r="E5" s="3" t="s">
        <v>51</v>
      </c>
      <c r="F5" s="3" t="s">
        <v>52</v>
      </c>
      <c r="G5" s="3" t="s">
        <v>53</v>
      </c>
      <c r="H5" s="4">
        <v>46324.523748611115</v>
      </c>
      <c r="I5" s="3" t="s">
        <v>38</v>
      </c>
      <c r="J5" s="6" t="s">
        <v>54</v>
      </c>
      <c r="K5" s="3" t="s">
        <v>55</v>
      </c>
      <c r="L5" s="3" t="s">
        <v>39</v>
      </c>
      <c r="M5" s="3" t="s">
        <v>31</v>
      </c>
      <c r="N5" s="3" t="s">
        <v>56</v>
      </c>
      <c r="O5" s="3" t="s">
        <v>32</v>
      </c>
      <c r="P5" s="3" t="s">
        <v>32</v>
      </c>
      <c r="Q5" s="3" t="s">
        <v>32</v>
      </c>
      <c r="R5" s="3" t="s">
        <v>32</v>
      </c>
      <c r="S5" s="3" t="s">
        <v>57</v>
      </c>
      <c r="T5" s="3" t="s">
        <v>32</v>
      </c>
      <c r="U5" s="4"/>
    </row>
    <row r="6" spans="9:12" x14ac:dyDescent="0.25"/>
    <row r="7" spans="9:12" x14ac:dyDescent="0.25"/>
    <row r="8" spans="9:12" x14ac:dyDescent="0.25"/>
    <row r="9" spans="9:12" x14ac:dyDescent="0.25"/>
    <row r="10" spans="9:12" x14ac:dyDescent="0.25"/>
    <row r="11" spans="9:12" x14ac:dyDescent="0.25"/>
    <row r="12" spans="9:12" x14ac:dyDescent="0.25"/>
    <row r="13" spans="9:12" x14ac:dyDescent="0.25"/>
    <row r="14" spans="9:12" x14ac:dyDescent="0.25"/>
    <row r="15" spans="9:12" x14ac:dyDescent="0.25"/>
    <row r="16" spans="9:12" x14ac:dyDescent="0.25"/>
    <row r="17" spans="9:12" x14ac:dyDescent="0.25"/>
    <row r="18" spans="9:12" x14ac:dyDescent="0.25"/>
    <row r="19" spans="9:12" x14ac:dyDescent="0.25"/>
    <row r="20" spans="9:12" x14ac:dyDescent="0.25"/>
    <row r="21" spans="9:12" x14ac:dyDescent="0.25"/>
    <row r="22" spans="9:12" x14ac:dyDescent="0.25"/>
    <row r="23" spans="9:12" x14ac:dyDescent="0.25"/>
    <row r="24" spans="9:12" x14ac:dyDescent="0.25"/>
    <row r="25" spans="9:12" x14ac:dyDescent="0.25"/>
    <row r="26" spans="9:12" x14ac:dyDescent="0.25"/>
    <row r="27" spans="9:12" x14ac:dyDescent="0.25"/>
    <row r="28" spans="9:12" x14ac:dyDescent="0.25"/>
    <row r="29" spans="9:12" x14ac:dyDescent="0.25"/>
    <row r="30" spans="9:12" x14ac:dyDescent="0.25"/>
    <row r="31" spans="9:12" x14ac:dyDescent="0.25"/>
    <row r="32" spans="9:12" x14ac:dyDescent="0.25"/>
    <row r="33" spans="9:12" x14ac:dyDescent="0.25"/>
    <row r="34" spans="9:12" x14ac:dyDescent="0.25"/>
    <row r="35" spans="9:12" x14ac:dyDescent="0.25"/>
    <row r="36" spans="9:12" x14ac:dyDescent="0.25"/>
    <row r="37" spans="9:12" x14ac:dyDescent="0.25"/>
    <row r="38" spans="9:12" x14ac:dyDescent="0.25"/>
    <row r="39" spans="9:12" x14ac:dyDescent="0.25"/>
    <row r="40" spans="9:12" x14ac:dyDescent="0.25"/>
    <row r="41" spans="9:12" x14ac:dyDescent="0.25"/>
    <row r="42" spans="9:12" x14ac:dyDescent="0.25"/>
    <row r="43" spans="9:12" x14ac:dyDescent="0.25"/>
    <row r="44" spans="9:12" x14ac:dyDescent="0.25"/>
    <row r="45" spans="9:12" x14ac:dyDescent="0.25"/>
    <row r="46" spans="9:12" x14ac:dyDescent="0.25"/>
    <row r="47" spans="9:12" x14ac:dyDescent="0.25"/>
    <row r="48" spans="9:12" x14ac:dyDescent="0.25"/>
    <row r="49" spans="9:12" x14ac:dyDescent="0.25"/>
    <row r="50" spans="9:12" x14ac:dyDescent="0.25"/>
    <row r="51" spans="9:12" x14ac:dyDescent="0.25"/>
    <row r="52" spans="9:12" x14ac:dyDescent="0.25"/>
    <row r="53" spans="9:12" x14ac:dyDescent="0.25"/>
    <row r="54" spans="9:12" x14ac:dyDescent="0.25"/>
    <row r="55" spans="9:12" x14ac:dyDescent="0.25"/>
    <row r="56" spans="9:12" x14ac:dyDescent="0.25"/>
    <row r="57" spans="9:12" x14ac:dyDescent="0.25"/>
    <row r="58" spans="9:12" x14ac:dyDescent="0.25"/>
    <row r="59" spans="9:12" x14ac:dyDescent="0.25"/>
    <row r="60" spans="9:12" x14ac:dyDescent="0.25"/>
    <row r="61" spans="9:12" x14ac:dyDescent="0.25"/>
    <row r="62" spans="9:12" x14ac:dyDescent="0.25"/>
    <row r="63" spans="9:12" x14ac:dyDescent="0.25"/>
    <row r="64" spans="9:12" x14ac:dyDescent="0.25"/>
    <row r="65" spans="9:12" x14ac:dyDescent="0.25"/>
    <row r="66" spans="9:12" x14ac:dyDescent="0.25"/>
    <row r="67" spans="9:12" x14ac:dyDescent="0.25"/>
    <row r="68" spans="9:12" x14ac:dyDescent="0.25"/>
    <row r="69" spans="9:12" x14ac:dyDescent="0.25"/>
    <row r="70" spans="9:12" x14ac:dyDescent="0.25"/>
    <row r="71" spans="9:12" x14ac:dyDescent="0.25"/>
    <row r="72" spans="9:12" x14ac:dyDescent="0.25"/>
    <row r="73" spans="9:12" x14ac:dyDescent="0.25"/>
    <row r="74" spans="9:12" x14ac:dyDescent="0.25"/>
    <row r="75" spans="9:12" x14ac:dyDescent="0.25"/>
    <row r="76" spans="9:12" x14ac:dyDescent="0.25"/>
    <row r="77" spans="9:12" x14ac:dyDescent="0.25"/>
    <row r="78" spans="9:12" x14ac:dyDescent="0.25"/>
    <row r="79" spans="9:12" x14ac:dyDescent="0.25"/>
    <row r="80" spans="9:12" x14ac:dyDescent="0.25"/>
    <row r="81" spans="9:12" x14ac:dyDescent="0.25"/>
    <row r="82" spans="9:12" x14ac:dyDescent="0.25"/>
    <row r="83" spans="9:12" x14ac:dyDescent="0.25"/>
    <row r="84" spans="9:12" x14ac:dyDescent="0.25"/>
    <row r="85" spans="9:12" x14ac:dyDescent="0.25"/>
    <row r="86" spans="9:12" x14ac:dyDescent="0.25"/>
    <row r="87" spans="9:12" x14ac:dyDescent="0.25"/>
    <row r="88" spans="9:12" x14ac:dyDescent="0.25"/>
    <row r="89" spans="9:12" x14ac:dyDescent="0.25"/>
    <row r="90" spans="9:12" x14ac:dyDescent="0.25"/>
    <row r="91" spans="9:12" x14ac:dyDescent="0.25"/>
    <row r="92" spans="9:12" x14ac:dyDescent="0.25"/>
    <row r="93" spans="9:12" x14ac:dyDescent="0.25"/>
    <row r="94" spans="9:12" x14ac:dyDescent="0.25"/>
    <row r="95" spans="9:12" x14ac:dyDescent="0.25"/>
    <row r="96" spans="9:12" x14ac:dyDescent="0.25"/>
    <row r="97" spans="9:12" x14ac:dyDescent="0.25"/>
    <row r="98" spans="9:12" x14ac:dyDescent="0.25"/>
    <row r="99" spans="9:12" x14ac:dyDescent="0.25"/>
    <row r="100" spans="9:12" x14ac:dyDescent="0.25"/>
    <row r="101" spans="9:12" x14ac:dyDescent="0.25"/>
    <row r="102" spans="9:12" x14ac:dyDescent="0.25"/>
    <row r="103" spans="9:12" x14ac:dyDescent="0.25"/>
    <row r="104" spans="9:12" x14ac:dyDescent="0.25"/>
    <row r="105" spans="9:12" x14ac:dyDescent="0.25"/>
    <row r="106" spans="9:12" x14ac:dyDescent="0.25"/>
    <row r="107" spans="9:12" x14ac:dyDescent="0.25"/>
    <row r="108" spans="9:12" x14ac:dyDescent="0.25"/>
    <row r="109" spans="9:12" x14ac:dyDescent="0.25"/>
    <row r="110" spans="9:12" x14ac:dyDescent="0.25"/>
    <row r="111" spans="9:12" x14ac:dyDescent="0.25"/>
    <row r="112" spans="9:12" x14ac:dyDescent="0.25"/>
    <row r="113" spans="9:12" x14ac:dyDescent="0.25"/>
    <row r="114" spans="9:12" x14ac:dyDescent="0.25"/>
    <row r="115" spans="9:12" x14ac:dyDescent="0.25"/>
    <row r="116" spans="9:12" x14ac:dyDescent="0.25"/>
    <row r="117" spans="9:12" x14ac:dyDescent="0.25"/>
    <row r="118" spans="9:12" x14ac:dyDescent="0.25"/>
    <row r="119" spans="9:12" x14ac:dyDescent="0.25"/>
    <row r="120" spans="9:12" x14ac:dyDescent="0.25"/>
    <row r="121" spans="9:12" x14ac:dyDescent="0.25"/>
    <row r="122" spans="9:12" x14ac:dyDescent="0.25"/>
    <row r="123" spans="9:12" x14ac:dyDescent="0.25"/>
    <row r="124" spans="9:12" x14ac:dyDescent="0.25"/>
    <row r="125" spans="9:12" x14ac:dyDescent="0.25"/>
    <row r="126" spans="9:12" x14ac:dyDescent="0.25"/>
    <row r="127" spans="9:12" x14ac:dyDescent="0.25"/>
    <row r="128" spans="9:12" x14ac:dyDescent="0.25"/>
    <row r="129" spans="9:12" x14ac:dyDescent="0.25"/>
    <row r="130" spans="9:12" x14ac:dyDescent="0.25"/>
    <row r="131" spans="9:12" x14ac:dyDescent="0.25"/>
    <row r="132" spans="9:12" x14ac:dyDescent="0.25"/>
    <row r="133" spans="9:12" x14ac:dyDescent="0.25"/>
    <row r="134" spans="9:12" x14ac:dyDescent="0.25"/>
    <row r="135" spans="9:12" x14ac:dyDescent="0.25"/>
    <row r="136" spans="9:12" x14ac:dyDescent="0.25"/>
    <row r="137" spans="9:12" x14ac:dyDescent="0.25"/>
    <row r="138" spans="9:12" x14ac:dyDescent="0.25"/>
    <row r="139" spans="9:12" x14ac:dyDescent="0.25"/>
    <row r="140" spans="9:12" x14ac:dyDescent="0.25"/>
    <row r="141" spans="9:12" x14ac:dyDescent="0.25"/>
    <row r="142" spans="9:12" x14ac:dyDescent="0.25"/>
    <row r="143" spans="9:12" x14ac:dyDescent="0.25"/>
    <row r="144" spans="9:12" x14ac:dyDescent="0.25"/>
    <row r="145" spans="9:12" x14ac:dyDescent="0.25"/>
    <row r="146" spans="9:12" x14ac:dyDescent="0.25"/>
    <row r="147" spans="9:12" x14ac:dyDescent="0.25"/>
    <row r="148" spans="9:12" x14ac:dyDescent="0.25"/>
    <row r="149" spans="9:12" x14ac:dyDescent="0.25"/>
    <row r="150" spans="9:12" x14ac:dyDescent="0.25"/>
    <row r="151" spans="9:12" x14ac:dyDescent="0.25"/>
    <row r="152" spans="9:12" x14ac:dyDescent="0.25"/>
    <row r="153" spans="9:12" x14ac:dyDescent="0.25"/>
    <row r="154" spans="9:12" x14ac:dyDescent="0.25"/>
    <row r="155" spans="9:12" x14ac:dyDescent="0.25"/>
    <row r="156" spans="9:12" x14ac:dyDescent="0.25"/>
    <row r="157" spans="9:12" x14ac:dyDescent="0.25"/>
    <row r="158" spans="9:12" x14ac:dyDescent="0.25"/>
    <row r="159" spans="9:12" x14ac:dyDescent="0.25"/>
    <row r="160" spans="9:12" x14ac:dyDescent="0.25"/>
    <row r="161" spans="9:12" x14ac:dyDescent="0.25"/>
    <row r="162" spans="9:12" x14ac:dyDescent="0.25"/>
    <row r="163" spans="9:12" x14ac:dyDescent="0.25"/>
    <row r="164" spans="9:12" x14ac:dyDescent="0.25"/>
    <row r="165" spans="9:12" x14ac:dyDescent="0.25"/>
    <row r="166" spans="9:12" x14ac:dyDescent="0.25"/>
    <row r="167" spans="9:12" x14ac:dyDescent="0.25"/>
    <row r="168" spans="9:12" x14ac:dyDescent="0.25"/>
    <row r="169" spans="9:12" x14ac:dyDescent="0.25"/>
    <row r="170" spans="9:12" x14ac:dyDescent="0.25"/>
    <row r="171" spans="9:12" x14ac:dyDescent="0.25"/>
    <row r="172" spans="9:12" x14ac:dyDescent="0.25"/>
    <row r="173" spans="9:12" x14ac:dyDescent="0.25"/>
    <row r="174" spans="9:12" x14ac:dyDescent="0.25"/>
    <row r="175" spans="9:12" x14ac:dyDescent="0.25"/>
    <row r="176" spans="9:12" x14ac:dyDescent="0.25"/>
    <row r="177" spans="9:12" x14ac:dyDescent="0.25"/>
    <row r="178" spans="9:12" x14ac:dyDescent="0.25"/>
    <row r="179" spans="9:12" x14ac:dyDescent="0.25"/>
    <row r="180" spans="9:12" x14ac:dyDescent="0.25"/>
    <row r="181" spans="9:12" x14ac:dyDescent="0.25"/>
    <row r="182" spans="9:12" x14ac:dyDescent="0.25"/>
    <row r="183" spans="9:12" x14ac:dyDescent="0.25"/>
    <row r="184" spans="9:12" x14ac:dyDescent="0.25"/>
    <row r="185" spans="9:12" x14ac:dyDescent="0.25"/>
    <row r="186" spans="9:12" x14ac:dyDescent="0.25"/>
    <row r="187" spans="9:12" x14ac:dyDescent="0.25"/>
    <row r="188" spans="9:12" x14ac:dyDescent="0.25"/>
    <row r="189" spans="9:12" x14ac:dyDescent="0.25"/>
    <row r="190" spans="9:12" x14ac:dyDescent="0.25"/>
    <row r="191" spans="9:12" x14ac:dyDescent="0.25"/>
    <row r="192" spans="9:12" x14ac:dyDescent="0.25"/>
    <row r="193" spans="9:12" x14ac:dyDescent="0.25"/>
    <row r="194" spans="9:12" x14ac:dyDescent="0.25"/>
    <row r="195" spans="9:12" x14ac:dyDescent="0.25"/>
    <row r="196" spans="9:12" x14ac:dyDescent="0.25"/>
    <row r="197" spans="9:12" x14ac:dyDescent="0.25"/>
    <row r="198" spans="9:12" x14ac:dyDescent="0.25"/>
    <row r="199" spans="9:12" x14ac:dyDescent="0.25"/>
    <row r="200" spans="9:12" x14ac:dyDescent="0.25"/>
    <row r="201" spans="9:12" x14ac:dyDescent="0.25"/>
    <row r="202" spans="9:12" x14ac:dyDescent="0.25"/>
  </sheetData>
  <autoFilter ref="A1:U5"/>
  <dataValidations count="8">
    <dataValidation type="list" allowBlank="1" sqref="I10:I202">
      <formula1>"Bug,Enhancement,Observation,Data Issue,Accessibility,Needs Decision"</formula1>
    </dataValidation>
    <dataValidation type="list" allowBlank="1" sqref="I2:I202">
      <formula1>"Bug,Enhancement,Observation,Data Issue,Accessibility,Needs Decision"</formula1>
    </dataValidation>
    <dataValidation type="list" allowBlank="1" sqref="J10:J202">
      <formula1>"Critical,High,Medium,Low"</formula1>
    </dataValidation>
    <dataValidation type="list" allowBlank="1" sqref="J2:J202">
      <formula1>"Critical,High,Medium,Low"</formula1>
    </dataValidation>
    <dataValidation type="list" allowBlank="1" sqref="K10:K202">
      <formula1>"P1 - Urgent,P2 - High,P3 - Medium,P4 - Low"</formula1>
    </dataValidation>
    <dataValidation type="list" allowBlank="1" sqref="K2:K202">
      <formula1>"P1 - Urgent,P2 - High,P3 - Medium,P4 - Low"</formula1>
    </dataValidation>
    <dataValidation type="list" allowBlank="1" sqref="L10:L202">
      <formula1>"Open,In Progress,Ready for Retest,Reopened,Closed,Won't Fix,Needs Decision"</formula1>
    </dataValidation>
    <dataValidation type="list" allowBlank="1" sqref="L2:L202">
      <formula1>"Open,In Progress,Ready for Retest,Reopened,Closed,Won't Fix,Needs Decision"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2"/>
  <sheetFormatPr defaultRowHeight="15" outlineLevelRow="0" outlineLevelCol="0" x14ac:dyDescent="55"/>
  <cols>
    <col min="1" max="1" width="48" customWidth="1"/>
    <col min="2" max="13" width="12" customWidth="1"/>
  </cols>
  <sheetData>
    <row r="1" spans="1:13" x14ac:dyDescent="0.25">
      <c r="A1" s="7" t="s">
        <v>58</v>
      </c>
      <c r="B1" s="7" t="s">
        <v>59</v>
      </c>
      <c r="C1" s="7" t="s">
        <v>30</v>
      </c>
      <c r="D1" s="7" t="s">
        <v>60</v>
      </c>
      <c r="E1" s="7" t="s">
        <v>61</v>
      </c>
      <c r="F1" s="7" t="s">
        <v>62</v>
      </c>
      <c r="G1" s="7" t="s">
        <v>63</v>
      </c>
      <c r="H1" s="7" t="s">
        <v>64</v>
      </c>
      <c r="I1" s="7" t="s">
        <v>39</v>
      </c>
      <c r="J1" s="7" t="s">
        <v>65</v>
      </c>
      <c r="K1" s="7" t="s">
        <v>66</v>
      </c>
      <c r="L1" s="7" t="s">
        <v>54</v>
      </c>
      <c r="M1" s="7" t="s">
        <v>28</v>
      </c>
    </row>
    <row r="2" spans="1:13" x14ac:dyDescent="0.25">
      <c r="A2" s="8" t="s">
        <v>21</v>
      </c>
      <c r="B2" s="9">
        <f>COUNTA('Login'!$D$2:$D$202)</f>
        <v>4</v>
      </c>
      <c r="C2" s="9">
        <f>COUNTIF('Login'!$L$2:$L$202,"Open")</f>
        <v>2</v>
      </c>
      <c r="D2" s="9">
        <f>COUNTIF('Login'!$L$2:$L$202,"In Progress")</f>
        <v>0</v>
      </c>
      <c r="E2" s="9">
        <f>COUNTIF('Login'!$L$2:$L$202,"Ready for Retest")</f>
        <v>0</v>
      </c>
      <c r="F2" s="9">
        <f>COUNTIF('Login'!$L$2:$L$202,"Reopened")</f>
        <v>0</v>
      </c>
      <c r="G2" s="9">
        <f>COUNTIF('Login'!$L$2:$L$202,"Closed")</f>
        <v>0</v>
      </c>
      <c r="H2" s="9">
        <f>COUNTIF('Login'!$L$2:$L$202,"Won't Fix")</f>
        <v>0</v>
      </c>
      <c r="I2" s="9">
        <f>COUNTIF('Login'!$L$2:$L$202,"Needs Decision")</f>
        <v>2</v>
      </c>
      <c r="J2" s="9">
        <f>COUNTIF('Login'!$J$2:$J$202,"Critical")</f>
        <v>0</v>
      </c>
      <c r="K2" s="9">
        <f>COUNTIF('Login'!$J$2:$J$202,"High")</f>
        <v>0</v>
      </c>
      <c r="L2" s="9">
        <f>COUNTIF('Login'!$J$2:$J$202,"Medium")</f>
        <v>1</v>
      </c>
      <c r="M2" s="9">
        <f>COUNTIF('Login'!$J$2:$J$202,"Low")</f>
        <v>3</v>
      </c>
    </row>
  </sheetData>
  <hyperlinks>
    <hyperlink ref="A2" r:id="rId1" location="#'Login'!A1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Login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SalesHiker Mobile QA automation</dc:creator>
  <dc:title/>
  <dc:subject/>
  <dc:description/>
  <cp:keywords/>
  <cp:category/>
  <cp:lastModifiedBy>Unknown</cp:lastModifiedBy>
  <dcterms:created xsi:type="dcterms:W3CDTF">2026-10-29T12:34:11Z</dcterms:created>
  <dcterms:modified xsi:type="dcterms:W3CDTF">2026-10-29T12:34:11Z</dcterms:modified>
</cp:coreProperties>
</file>