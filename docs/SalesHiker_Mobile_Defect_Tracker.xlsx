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gin" state="visible" r:id="rId5"/>
    <sheet sheetId="3" name="Campaigns" state="visible" r:id="rId6"/>
    <sheet sheetId="4" name="Broadcasts" state="visible" r:id="rId7"/>
    <sheet sheetId="5" name="Failures to triage" state="visible" r:id="rId8"/>
  </sheets>
  <calcPr calcId="171027" fullCalcOnLoad="1"/>
</workbook>
</file>

<file path=xl/sharedStrings.xml><?xml version="1.0" encoding="utf-8"?>
<sst xmlns="http://schemas.openxmlformats.org/spreadsheetml/2006/main" count="314" uniqueCount="139">
  <si>
    <t>Module</t>
  </si>
  <si>
    <t>Total</t>
  </si>
  <si>
    <t>Open</t>
  </si>
  <si>
    <t>In Progress</t>
  </si>
  <si>
    <t>Ready for Retest</t>
  </si>
  <si>
    <t>Reopened</t>
  </si>
  <si>
    <t>Closed</t>
  </si>
  <si>
    <t>Won't Fix</t>
  </si>
  <si>
    <t>Needs Decision</t>
  </si>
  <si>
    <t>Critical</t>
  </si>
  <si>
    <t>High</t>
  </si>
  <si>
    <t>Medium</t>
  </si>
  <si>
    <t>Low</t>
  </si>
  <si>
    <t>Login (mobile sign-in)</t>
  </si>
  <si>
    <t>Campaigns (WhatsApp)</t>
  </si>
  <si>
    <t>Broadcasts (WhatsApp)</t>
  </si>
  <si>
    <t>Failures to triage (no linked defect): 9. Status and columns O-U are kept between updates; a defect with a guard test moves to "Ready for Retest" or "Reopened" automatically (see tools\excel\update-workbooks.js).</t>
  </si>
  <si>
    <t>No#</t>
  </si>
  <si>
    <t>Module/Screen / Extension</t>
  </si>
  <si>
    <t>Section / Category</t>
  </si>
  <si>
    <t>Task / Bugs / Enhacement</t>
  </si>
  <si>
    <t xml:space="preserve">Steps to Reproduce 
(If required)</t>
  </si>
  <si>
    <t>Expected Result</t>
  </si>
  <si>
    <t>Actual Result</t>
  </si>
  <si>
    <t>Date</t>
  </si>
  <si>
    <t>Issue Type</t>
  </si>
  <si>
    <t>Severity</t>
  </si>
  <si>
    <t>Priority</t>
  </si>
  <si>
    <t>Status</t>
  </si>
  <si>
    <t>Test Environment</t>
  </si>
  <si>
    <t>Screenshot/Video</t>
  </si>
  <si>
    <t xml:space="preserve">Reopen SS/Video
&amp;
Description</t>
  </si>
  <si>
    <t>Assigned To</t>
  </si>
  <si>
    <t>Closed / Resolved by</t>
  </si>
  <si>
    <t>Requested by</t>
  </si>
  <si>
    <t>QA Comment</t>
  </si>
  <si>
    <t>Developer / Designer Comment</t>
  </si>
  <si>
    <t>Closed Date</t>
  </si>
  <si>
    <t>Validation</t>
  </si>
  <si>
    <t>MLGN-D01 - Sign-in request is sent even though the email failed the app's own format check</t>
  </si>
  <si>
    <t xml:space="preserve">1. Launch the app (signed out).
2. Email: not-an-email
3. Password: Secret123
4. Tap "Sign in".</t>
  </si>
  <si>
    <t>Only the inline error "Enter a full email, like you@company.com." is shown and no request is made, the same way empty fields are blocked (MLGN-008).</t>
  </si>
  <si>
    <t>The inline error is shown, but the form is submitted anyway: the button changes to "Signing in..." and the server then answers with a second banner, "Invalid email". The user sees two messages for one problem, and the backend receives a request the client already knew was invalid. Also seen with the SQL-injection input (MLGN-013).</t>
  </si>
  <si>
    <t>Bug</t>
  </si>
  <si>
    <t>P4 - Low</t>
  </si>
  <si>
    <t>Beta backend: accountsbeta.saleshiker.com; see QA comment</t>
  </si>
  <si>
    <t/>
  </si>
  <si>
    <t>Automated test: MLGN-012 (test/specs/regression/login-validation.spec.ts). Reproduced on Android 15 (API 35) and Android 17 (API 37) emulators. The test is left failing on purpose until this is fixed.</t>
  </si>
  <si>
    <t>MLGN-D02 - No client-side length check on the email field</t>
  </si>
  <si>
    <t xml:space="preserve">1. Launch the app (signed out).
2. Email: 250 x "a" + "@example.com"
3. Password: Secret123
4. Tap "Sign in".</t>
  </si>
  <si>
    <t>The app rejects an address whose part before "@" exceeds 64 characters (RFC 5321) before sending it, or caps the field length.</t>
  </si>
  <si>
    <t>The full value is accepted and sent; the server replies "Email or password is wrong.". No crash, and the generic message is acceptable, but invalid input still reaches the backend.</t>
  </si>
  <si>
    <t>Observation</t>
  </si>
  <si>
    <t>Automated test: MLGN-015 passes (it checks that the app copes safely). Product to decide whether a client-side limit is wanted.</t>
  </si>
  <si>
    <t>Testability</t>
  </si>
  <si>
    <t>MLGN-D03 - Sign-in controls have no testID / resource-id</t>
  </si>
  <si>
    <t xml:space="preserve">1. Open the sign-in screen.
2. Inspect the view hierarchy (Appium page source, or adb shell uiautomator dump).</t>
  </si>
  <si>
    <t>Inputs, buttons and links expose stable ids (React Native testID), e.g. login-email, login-password, login-submit.</t>
  </si>
  <si>
    <t>No app resource-ids exist. Automation has to use accessibility labels, which change with copy or localisation.</t>
  </si>
  <si>
    <t>Enhancement</t>
  </si>
  <si>
    <t>Hierarchy dump: reports/*-evidence-*/hierarchy.csv (no com.saleshiker.app:id/* except action_bar_root)</t>
  </si>
  <si>
    <t>Not a functional defect. Once ids are added, only the selectors in src/pages/*.ts need updating.</t>
  </si>
  <si>
    <t>Stability</t>
  </si>
  <si>
    <t>MLGN-D04 - Native crash (SIGSEGV in RenderThread) seen once on an unstable emulator</t>
  </si>
  <si>
    <t>Seen once on 2026-10-29 13:48 on the Android 17 (API 37) Google Play emulator while its SystemUI was crash-looping. No reliable steps yet.</t>
  </si>
  <si>
    <t>The app does not crash.</t>
  </si>
  <si>
    <t>logcat: "Fatal signal 11 (SIGSEGV), code 1 (SEGV_MAPERR), fault addr 0x4 in tid RenderThread (.saleshiker.app)".</t>
  </si>
  <si>
    <t>P3 - Medium</t>
  </si>
  <si>
    <t>docs/DEFECT_TRACKER.md (OBS-002); device crash buffer of the API 37 emulator</t>
  </si>
  <si>
    <t>Not reproduced on the healthy Android 15 emulator in any login run (0 crashes). Not attributed to the app yet: the device itself was failing. Every run saves logcat.crash.txt, so watch for a repeat.</t>
  </si>
  <si>
    <t>Data consistency</t>
  </si>
  <si>
    <t>MCMP-D01 - Recipient shown as "Replied" while the campaign reports 0 delivered and 0 read</t>
  </si>
  <si>
    <t xml:space="preserve">1. More &gt; Campaigns.
2. Open a campaign with "1 sent" (seen on one Retarget and one Drip campaign, both started 19 Aug).
3. Compare the DELIVERY tiles with RECENT RECIPIENTS.</t>
  </si>
  <si>
    <t>A recipient who replied has received and read the message, so Delivered and Read are at least 1 (100%).</t>
  </si>
  <si>
    <t>DELIVERY: Sent 1, Delivered 0 (0%), Read 0 (0%), Failed 0 (0%). RECENT RECIPIENTS lists the only recipient with status "Replied". The same on both campaigns.</t>
  </si>
  <si>
    <t>Beta backend: accountsbeta.saleshiker.com; DQCI7XBU5LXWB6KZ (RMX3997, Android 16); app com.saleshiker.app 1.0.0</t>
  </si>
  <si>
    <t xml:space="preserve">Screenshot: screenshot.png
Screenshot: MCMP-019_1.png</t>
  </si>
  <si>
    <t xml:space="preserve">Seen on 2 campaigns, re-checked twice. Possible cause: delivery/read status callbacks from WhatsApp are not recorded on the beta backend (the sender is a test number), while the reply is. Needs a backend check before it is called an app bug. Automated test MCMP-019 (test/specs/regression/campaign-detail.spec.ts) fails while this persists.
Last automated check: 30-Oct-2026 MCMP-019 FAIL (run 20261030-171502-full) - still reproduces.</t>
  </si>
  <si>
    <t>Search</t>
  </si>
  <si>
    <t>MCMP-D02 - Campaign search ignores type and status although the empty state says to search by them</t>
  </si>
  <si>
    <t xml:space="preserve">1. More &gt; Campaigns.
2. Search "paused" (4 paused campaigns exist), then "active" (2 exist).
3. Search "drip" (5 Drip campaigns exist).</t>
  </si>
  <si>
    <t>The empty state says "Try another name, type or status.", so "paused" lists the 4 paused campaigns, "active" the 2 active ones and "drip" all 5 Drip campaigns. Alternatively, the hint names only what search supports.</t>
  </si>
  <si>
    <t>"paused", "Paused" and "active" show "No campaigns found". "drip" lists 1 campaign: the one with "drip" in its name. Search matches names only.</t>
  </si>
  <si>
    <t xml:space="preserve">Screenshot: screenshot.png
Screenshot: MCMP-012_search_Active.png
Screenshot: MCMP-012_search_Drip.png</t>
  </si>
  <si>
    <t xml:space="preserve">Reproduced with 4 search terms. Filters by type/status work through the chips (MCMP-004, MCMP-005). Fix either the search or the hint text. Automated test MCMP-012 (test/specs/regression/campaigns-search.spec.ts) fails while this persists.
Last automated check: 30-Oct-2026 MCMP-012 FAIL (run 20261030-173959-single-MCMP-012) - still reproduces.</t>
  </si>
  <si>
    <t>Usability</t>
  </si>
  <si>
    <t>MCMP-D03 - With the keyboard open, the first tap on "Clear Filters" only closes the keyboard</t>
  </si>
  <si>
    <t xml:space="preserve">1. More &gt; Campaigns.
2. Search for a name that does not exist (keyboard stays open).
3. Tap "Clear Filters" once.</t>
  </si>
  <si>
    <t>One tap clears the search and filters.</t>
  </si>
  <si>
    <t>The first tap only hides the keyboard; a second tap is needed.</t>
  </si>
  <si>
    <t>Screenshot: MCMP-010_empty_state.png</t>
  </si>
  <si>
    <t>Typical React Native keyboardShouldPersistTaps default. The automated test closes the keyboard first so it checks the button itself. Product to decide.</t>
  </si>
  <si>
    <t>Send safety</t>
  </si>
  <si>
    <t>MBRD-D01 - For a Tags audience, neither the review nor the send confirmation says how many contacts will receive the broadcast</t>
  </si>
  <si>
    <t xml:space="preserve">1. Broadcasts &gt; New Broadcast.
2. Audience: Tags, add a tag.
3. Pick a template and go to Review.
4. Tap Send Broadcast.</t>
  </si>
  <si>
    <t>Before sending, the user sees how many contacts the tag reaches, as for the other audiences ("All contacts: 3,01,064 contacts", segment "3 contacts match.", review "Audience, 3 contacts").</t>
  </si>
  <si>
    <t>Step 1 shows no count for tags. The review shows only "Audience, Tags: &lt;tag&gt;" and the confirmation only "Tags: &lt;tag&gt;. Sending starts now." The count appears only after sending (detail: "Tags: &lt;tag&gt;. 2 contacts"). Contacts search does not find contacts by tag either, so the reach cannot be checked on the phone at all.</t>
  </si>
  <si>
    <t>P2 - High</t>
  </si>
  <si>
    <t>Screenshot: screenshot.png</t>
  </si>
  <si>
    <t xml:space="preserve">A common tag can reach thousands of contacts with no warning. Seen on every Tags review (3 times). Automated test MBRD-012 (test/specs/regression/broadcast-wizard.spec.ts) fails while this persists. The send test (MBRD-020) works around it by checking each allowlisted contact's tag first and the recipients afterwards.
Last automated check: 31-Oct-2026 MBRD-012 FAIL (run 20261031-133943-full) - still reproduces.</t>
  </si>
  <si>
    <t>MBRD-D02 - Template search keeps the previous text, and typing after tapping the field inserts in the middle of it</t>
  </si>
  <si>
    <t xml:space="preserve">1. New Broadcast &gt; step 2 &gt; open the template picker and search "call_phone_message".
2. Pick a template, then open the picker again.
3. Tap the search field and type.</t>
  </si>
  <si>
    <t>The picker opens with an empty search, or tapping puts the cursor at the end.</t>
  </si>
  <si>
    <t>The old text is still there and the cursor lands where the field was tapped, producing e.g. "call_phone_mescall_phone_messagesage" and "No templates found".</t>
  </si>
  <si>
    <t>Seen once during exploration. The automated tests clear the field with its X before typing.</t>
  </si>
  <si>
    <t>Test ID</t>
  </si>
  <si>
    <t>Test</t>
  </si>
  <si>
    <t>Failure</t>
  </si>
  <si>
    <t>Evidence</t>
  </si>
  <si>
    <t>Classification</t>
  </si>
  <si>
    <t>Notes</t>
  </si>
  <si>
    <t>MBRD-001</t>
  </si>
  <si>
    <t>Broadcasts</t>
  </si>
  <si>
    <t>Broadcast list opens with status filters and New Broadcast starts the wizard</t>
  </si>
  <si>
    <t>Can't call getText on element with selector "android=new UiSelector().textMatches("[0-9,]+ broadcasts?")" because element wasn't found</t>
  </si>
  <si>
    <t>Screenshot</t>
  </si>
  <si>
    <t>To triage</t>
  </si>
  <si>
    <t>MBRD-002</t>
  </si>
  <si>
    <t>Step 1 starts with no audience chosen and the first connected number as sender</t>
  </si>
  <si>
    <t>WebDriverError: java.util.ArrayList$ListItr cannot be cast to org.eclipse.wst.xml.xpath2.processor.internal.types.NodeType. Try changing the 'enforceXPath1' driver setting to 'true' in order to workaround the problem. when running "elements" with method "POST"</t>
  </si>
  <si>
    <t>MBRD-003</t>
  </si>
  <si>
    <t>Step 1 blocks Next without a name or an audience</t>
  </si>
  <si>
    <t>tag error: expected false to equal true</t>
  </si>
  <si>
    <t>MBRD-005</t>
  </si>
  <si>
    <t>Saved list and Segment pickers offer named audiences with their sizes</t>
  </si>
  <si>
    <t>waitUntil condition failed with the following reason: WebDriverError: java.util.ArrayList$ListItr cannot be cast to org.eclipse.wst.xml.xpath2.processor.internal.types.NodeType. Try changing the 'enforceXPath1' driver setting to 'true' in order to workaround the problem. when running "elements" with method "POST"</t>
  </si>
  <si>
    <t>MBRD-007</t>
  </si>
  <si>
    <t>Template search is case-insensitive and reports no match</t>
  </si>
  <si>
    <t>element ("~Search templates") still not displayed after 15000ms</t>
  </si>
  <si>
    <t>MBRD-009</t>
  </si>
  <si>
    <t>Review summarises the choices, defaults to Send now and asks before sending</t>
  </si>
  <si>
    <t>MBRD-010</t>
  </si>
  <si>
    <t>Back keeps the entries of earlier steps</t>
  </si>
  <si>
    <t>MBRD-011</t>
  </si>
  <si>
    <t>Closing asks to discard, Cancel keeps editing and Discard saves nothing</t>
  </si>
  <si>
    <t>Test skipped due to failure in hook ""before each" hook: wrappedHook for "MBRD-011 Closing asks to discard, Cancel keeps editing and Discard saves nothing"": HomePage not shown within 1000 ms</t>
  </si>
  <si>
    <t>20261031-133943-full</t>
  </si>
  <si>
    <t>MBRD-020</t>
  </si>
  <si>
    <t>Create and send a broadcast to the allowlisted tag, then check its 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</si>
</sst>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8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u/>
      <color rgb="FF0563C1"/>
      <sz val="10"/>
      <name val="Arial"/>
    </font>
    <font>
      <name val="Arial"/>
    </font>
    <font>
      <b/>
      <name val="Arial"/>
    </font>
    <font>
      <i/>
      <sz val="9"/>
      <name val="Arial"/>
    </font>
    <font>
      <b/>
      <color rgb="FFFFFFFF"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2D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Login&apos;!A1" TargetMode="External"/><Relationship Id="rId2" Type="http://schemas.openxmlformats.org/officeDocument/2006/relationships/hyperlink" Target="#&apos;Campaigns&apos;!A1" TargetMode="External"/><Relationship Id="rId3" Type="http://schemas.openxmlformats.org/officeDocument/2006/relationships/hyperlink" Target="#&apos;Broadcast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../reports/20261030-171502-full/failures/MCMP-019_Recipients_who_replied_are_counted_as_delivered_and_read/screenshot.png" TargetMode="External"/><Relationship Id="rId2" Type="http://schemas.openxmlformats.org/officeDocument/2006/relationships/hyperlink" Target="../reports/20261030-173959-single-MCMP-012/failures/MCMP-012_Search_finds_campaigns_by_type_and_status_as_the_empty-state_hint_says/screenshot.png" TargetMode="External"/><Relationship Id="rId3" Type="http://schemas.openxmlformats.org/officeDocument/2006/relationships/hyperlink" Target="../reports/20261030-171502-full/screenshots/MCMP-010_empty_state.p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../reports/20261031-133943-full/failures/MBRD-020_Create_and_send_a_broadcast_to_the_allowlisted_tag_then_check_its_recip/screenshot.png" TargetMode="External"/><Relationship Id="rId2" Type="http://schemas.openxmlformats.org/officeDocument/2006/relationships/hyperlink" Target="../reports/20261031-133943-full/failures/MBRD-007_Template_search_is_case-insensitive_and_reports_no_match/screenshot.png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../reports/20261031-133943-full/failures/MBRD-001_Broadcast_list_opens_with_status_filters_and_New_Broadcast_starts_the_w/screenshot.png" TargetMode="External"/><Relationship Id="rId2" Type="http://schemas.openxmlformats.org/officeDocument/2006/relationships/hyperlink" Target="../reports/20261031-133943-full/failures/MBRD-002_Step_1_starts_with_no_audience_chosen_and_the_first_connected_number_as/screenshot.png" TargetMode="External"/><Relationship Id="rId3" Type="http://schemas.openxmlformats.org/officeDocument/2006/relationships/hyperlink" Target="../reports/20261031-133943-full/failures/MBRD-003_Step_1_blocks_Next_without_a_name_or_an_audience/screenshot.png" TargetMode="External"/><Relationship Id="rId4" Type="http://schemas.openxmlformats.org/officeDocument/2006/relationships/hyperlink" Target="../reports/20261031-133943-full/failures/MBRD-005_Saved_list_and_Segment_pickers_offer_named_audiences_with_their_sizes/screenshot.png" TargetMode="External"/><Relationship Id="rId5" Type="http://schemas.openxmlformats.org/officeDocument/2006/relationships/hyperlink" Target="../reports/20261031-133943-full/failures/MBRD-007_Template_search_is_case-insensitive_and_reports_no_match/screenshot.png" TargetMode="External"/><Relationship Id="rId6" Type="http://schemas.openxmlformats.org/officeDocument/2006/relationships/hyperlink" Target="../reports/20261031-133943-full/failures/MBRD-009_Review_summarises_the_choices_defaults_to_Send_now_and_asks_before_send/screenshot.png" TargetMode="External"/><Relationship Id="rId7" Type="http://schemas.openxmlformats.org/officeDocument/2006/relationships/hyperlink" Target="../reports/20261031-133943-full/failures/MBRD-010_Back_keeps_the_entries_of_earlier_steps/screenshot.png" TargetMode="External"/><Relationship Id="rId8" Type="http://schemas.openxmlformats.org/officeDocument/2006/relationships/hyperlink" Target="../reports/20261031-133943-full/summary.md" TargetMode="External"/><Relationship Id="rId9" Type="http://schemas.openxmlformats.org/officeDocument/2006/relationships/hyperlink" Target="../reports/20261031-133943-full/failures/MBRD-020_Create_and_send_a_broadcast_to_the_allowlisted_tag_then_check_its_recip/screensho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" width="48" customWidth="1"/>
    <col min="2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f>COUNTA('Login'!$D$2:$D$202)</f>
        <v>4</v>
      </c>
      <c r="C2" s="3">
        <f>COUNTIF('Login'!$L$2:$L$202,"Open")</f>
        <v>2</v>
      </c>
      <c r="D2" s="3">
        <f>COUNTIF('Login'!$L$2:$L$202,"In Progress")</f>
        <v>0</v>
      </c>
      <c r="E2" s="3">
        <f>COUNTIF('Login'!$L$2:$L$202,"Ready for Retest")</f>
        <v>0</v>
      </c>
      <c r="F2" s="3">
        <f>COUNTIF('Login'!$L$2:$L$202,"Reopened")</f>
        <v>0</v>
      </c>
      <c r="G2" s="3">
        <f>COUNTIF('Login'!$L$2:$L$202,"Closed")</f>
        <v>0</v>
      </c>
      <c r="H2" s="3">
        <f>COUNTIF('Login'!$L$2:$L$202,"Won't Fix")</f>
        <v>0</v>
      </c>
      <c r="I2" s="3">
        <f>COUNTIF('Login'!$L$2:$L$202,"Needs Decision")</f>
        <v>2</v>
      </c>
      <c r="J2" s="3">
        <f>COUNTIF('Login'!$J$2:$J$202,"Critical")</f>
        <v>0</v>
      </c>
      <c r="K2" s="3">
        <f>COUNTIF('Login'!$J$2:$J$202,"High")</f>
        <v>0</v>
      </c>
      <c r="L2" s="3">
        <f>COUNTIF('Login'!$J$2:$J$202,"Medium")</f>
        <v>1</v>
      </c>
      <c r="M2" s="3">
        <f>COUNTIF('Login'!$J$2:$J$202,"Low")</f>
        <v>3</v>
      </c>
    </row>
    <row r="3" spans="1:13" x14ac:dyDescent="0.25">
      <c r="A3" s="2" t="s">
        <v>14</v>
      </c>
      <c r="B3" s="3">
        <f>COUNTA('Campaigns'!$D$2:$D$202)</f>
        <v>3</v>
      </c>
      <c r="C3" s="3">
        <f>COUNTIF('Campaigns'!$L$2:$L$202,"Open")</f>
        <v>1</v>
      </c>
      <c r="D3" s="3">
        <f>COUNTIF('Campaigns'!$L$2:$L$202,"In Progress")</f>
        <v>0</v>
      </c>
      <c r="E3" s="3">
        <f>COUNTIF('Campaigns'!$L$2:$L$202,"Ready for Retest")</f>
        <v>0</v>
      </c>
      <c r="F3" s="3">
        <f>COUNTIF('Campaigns'!$L$2:$L$202,"Reopened")</f>
        <v>0</v>
      </c>
      <c r="G3" s="3">
        <f>COUNTIF('Campaigns'!$L$2:$L$202,"Closed")</f>
        <v>0</v>
      </c>
      <c r="H3" s="3">
        <f>COUNTIF('Campaigns'!$L$2:$L$202,"Won't Fix")</f>
        <v>0</v>
      </c>
      <c r="I3" s="3">
        <f>COUNTIF('Campaigns'!$L$2:$L$202,"Needs Decision")</f>
        <v>2</v>
      </c>
      <c r="J3" s="3">
        <f>COUNTIF('Campaigns'!$J$2:$J$202,"Critical")</f>
        <v>0</v>
      </c>
      <c r="K3" s="3">
        <f>COUNTIF('Campaigns'!$J$2:$J$202,"High")</f>
        <v>0</v>
      </c>
      <c r="L3" s="3">
        <f>COUNTIF('Campaigns'!$J$2:$J$202,"Medium")</f>
        <v>0</v>
      </c>
      <c r="M3" s="3">
        <f>COUNTIF('Campaigns'!$J$2:$J$202,"Low")</f>
        <v>3</v>
      </c>
    </row>
    <row r="4" spans="1:13" x14ac:dyDescent="0.25">
      <c r="A4" s="2" t="s">
        <v>15</v>
      </c>
      <c r="B4" s="3">
        <f>COUNTA('Broadcasts'!$D$2:$D$202)</f>
        <v>2</v>
      </c>
      <c r="C4" s="3">
        <f>COUNTIF('Broadcasts'!$L$2:$L$202,"Open")</f>
        <v>1</v>
      </c>
      <c r="D4" s="3">
        <f>COUNTIF('Broadcasts'!$L$2:$L$202,"In Progress")</f>
        <v>0</v>
      </c>
      <c r="E4" s="3">
        <f>COUNTIF('Broadcasts'!$L$2:$L$202,"Ready for Retest")</f>
        <v>0</v>
      </c>
      <c r="F4" s="3">
        <f>COUNTIF('Broadcasts'!$L$2:$L$202,"Reopened")</f>
        <v>0</v>
      </c>
      <c r="G4" s="3">
        <f>COUNTIF('Broadcasts'!$L$2:$L$202,"Closed")</f>
        <v>0</v>
      </c>
      <c r="H4" s="3">
        <f>COUNTIF('Broadcasts'!$L$2:$L$202,"Won't Fix")</f>
        <v>0</v>
      </c>
      <c r="I4" s="3">
        <f>COUNTIF('Broadcasts'!$L$2:$L$202,"Needs Decision")</f>
        <v>1</v>
      </c>
      <c r="J4" s="3">
        <f>COUNTIF('Broadcasts'!$J$2:$J$202,"Critical")</f>
        <v>0</v>
      </c>
      <c r="K4" s="3">
        <f>COUNTIF('Broadcasts'!$J$2:$J$202,"High")</f>
        <v>0</v>
      </c>
      <c r="L4" s="3">
        <f>COUNTIF('Broadcasts'!$J$2:$J$202,"Medium")</f>
        <v>1</v>
      </c>
      <c r="M4" s="3">
        <f>COUNTIF('Broadcasts'!$J$2:$J$202,"Low")</f>
        <v>1</v>
      </c>
    </row>
    <row r="5" spans="1:13" x14ac:dyDescent="0.25">
      <c r="A5" s="4" t="s">
        <v>1</v>
      </c>
      <c r="B5" s="5">
        <f>SUM(B2:B4)</f>
        <v>9</v>
      </c>
      <c r="C5" s="5">
        <f>SUM(C2:C4)</f>
        <v>4</v>
      </c>
      <c r="D5" s="5">
        <f>SUM(D2:D4)</f>
        <v>0</v>
      </c>
      <c r="E5" s="5">
        <f>SUM(E2:E4)</f>
        <v>0</v>
      </c>
      <c r="F5" s="5">
        <f>SUM(F2:F4)</f>
        <v>0</v>
      </c>
      <c r="G5" s="5">
        <f>SUM(G2:G4)</f>
        <v>0</v>
      </c>
      <c r="H5" s="5">
        <f>SUM(H2:H4)</f>
        <v>0</v>
      </c>
      <c r="I5" s="5">
        <f>SUM(I2:I4)</f>
        <v>5</v>
      </c>
      <c r="J5" s="5">
        <f>SUM(J2:J4)</f>
        <v>0</v>
      </c>
      <c r="K5" s="5">
        <f>SUM(K2:K4)</f>
        <v>0</v>
      </c>
      <c r="L5" s="5">
        <f>SUM(L2:L4)</f>
        <v>2</v>
      </c>
      <c r="M5" s="5">
        <f>SUM(M2:M4)</f>
        <v>7</v>
      </c>
    </row>
    <row r="7" spans="1:1" x14ac:dyDescent="0.25">
      <c r="A7" s="6" t="s">
        <v>16</v>
      </c>
    </row>
  </sheetData>
  <hyperlinks>
    <hyperlink ref="A2" r:id="rId1" location="#'Login'!A1"/>
    <hyperlink ref="A3" r:id="rId2" location="#'Campaigns'!A1"/>
    <hyperlink ref="A4" r:id="rId3" location="#'Broadcas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2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8" customWidth="1"/>
    <col min="4" max="4" width="40" customWidth="1"/>
    <col min="5" max="5" width="60" customWidth="1"/>
    <col min="6" max="6" width="40" customWidth="1"/>
    <col min="7" max="7" width="45" customWidth="1"/>
    <col min="8" max="8" width="12" customWidth="1"/>
    <col min="9" max="9" width="14" customWidth="1"/>
    <col min="10" max="10" width="11" customWidth="1"/>
    <col min="11" max="11" width="13" customWidth="1"/>
    <col min="12" max="12" width="16" customWidth="1"/>
    <col min="13" max="13" width="24" customWidth="1"/>
    <col min="14" max="14" width="36" customWidth="1"/>
    <col min="15" max="15" width="20" customWidth="1"/>
    <col min="16" max="18" width="14" customWidth="1"/>
    <col min="19" max="19" width="50" customWidth="1"/>
    <col min="20" max="20" width="30" customWidth="1"/>
    <col min="21" max="21" width="12" customWidth="1"/>
  </cols>
  <sheetData>
    <row r="1" ht="48" customHeight="1" spans="1:2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  <c r="R1" s="7" t="s">
        <v>34</v>
      </c>
      <c r="S1" s="7" t="s">
        <v>35</v>
      </c>
      <c r="T1" s="7" t="s">
        <v>36</v>
      </c>
      <c r="U1" s="7" t="s">
        <v>37</v>
      </c>
    </row>
    <row r="2" spans="1:21" x14ac:dyDescent="0.25">
      <c r="A2" s="8">
        <v>1</v>
      </c>
      <c r="B2" s="9" t="s">
        <v>13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10">
        <v>46324.523748611115</v>
      </c>
      <c r="I2" s="9" t="s">
        <v>43</v>
      </c>
      <c r="J2" s="11" t="s">
        <v>12</v>
      </c>
      <c r="K2" s="9" t="s">
        <v>44</v>
      </c>
      <c r="L2" s="9" t="s">
        <v>2</v>
      </c>
      <c r="M2" s="9" t="s">
        <v>45</v>
      </c>
      <c r="N2" s="9" t="s">
        <v>46</v>
      </c>
      <c r="O2" s="9" t="s">
        <v>46</v>
      </c>
      <c r="P2" s="9" t="s">
        <v>46</v>
      </c>
      <c r="Q2" s="9" t="s">
        <v>46</v>
      </c>
      <c r="R2" s="9" t="s">
        <v>46</v>
      </c>
      <c r="S2" s="9" t="s">
        <v>47</v>
      </c>
      <c r="T2" s="9" t="s">
        <v>46</v>
      </c>
      <c r="U2" s="10"/>
    </row>
    <row r="3" spans="1:21" x14ac:dyDescent="0.25">
      <c r="A3" s="8">
        <v>2</v>
      </c>
      <c r="B3" s="9" t="s">
        <v>13</v>
      </c>
      <c r="C3" s="9" t="s">
        <v>38</v>
      </c>
      <c r="D3" s="9" t="s">
        <v>48</v>
      </c>
      <c r="E3" s="9" t="s">
        <v>49</v>
      </c>
      <c r="F3" s="9" t="s">
        <v>50</v>
      </c>
      <c r="G3" s="9" t="s">
        <v>51</v>
      </c>
      <c r="H3" s="10">
        <v>46324.523748611115</v>
      </c>
      <c r="I3" s="9" t="s">
        <v>52</v>
      </c>
      <c r="J3" s="11" t="s">
        <v>12</v>
      </c>
      <c r="K3" s="9" t="s">
        <v>44</v>
      </c>
      <c r="L3" s="9" t="s">
        <v>8</v>
      </c>
      <c r="M3" s="9" t="s">
        <v>45</v>
      </c>
      <c r="N3" s="9" t="s">
        <v>46</v>
      </c>
      <c r="O3" s="9" t="s">
        <v>46</v>
      </c>
      <c r="P3" s="9" t="s">
        <v>46</v>
      </c>
      <c r="Q3" s="9" t="s">
        <v>46</v>
      </c>
      <c r="R3" s="9" t="s">
        <v>46</v>
      </c>
      <c r="S3" s="9" t="s">
        <v>53</v>
      </c>
      <c r="T3" s="9" t="s">
        <v>46</v>
      </c>
      <c r="U3" s="10"/>
    </row>
    <row r="4" spans="1:21" x14ac:dyDescent="0.25">
      <c r="A4" s="8">
        <v>3</v>
      </c>
      <c r="B4" s="9" t="s">
        <v>13</v>
      </c>
      <c r="C4" s="9" t="s">
        <v>54</v>
      </c>
      <c r="D4" s="9" t="s">
        <v>55</v>
      </c>
      <c r="E4" s="9" t="s">
        <v>56</v>
      </c>
      <c r="F4" s="9" t="s">
        <v>57</v>
      </c>
      <c r="G4" s="9" t="s">
        <v>58</v>
      </c>
      <c r="H4" s="10">
        <v>46324.523748611115</v>
      </c>
      <c r="I4" s="9" t="s">
        <v>59</v>
      </c>
      <c r="J4" s="11" t="s">
        <v>12</v>
      </c>
      <c r="K4" s="9" t="s">
        <v>44</v>
      </c>
      <c r="L4" s="9" t="s">
        <v>2</v>
      </c>
      <c r="M4" s="9" t="s">
        <v>45</v>
      </c>
      <c r="N4" s="9" t="s">
        <v>60</v>
      </c>
      <c r="O4" s="9" t="s">
        <v>46</v>
      </c>
      <c r="P4" s="9" t="s">
        <v>46</v>
      </c>
      <c r="Q4" s="9" t="s">
        <v>46</v>
      </c>
      <c r="R4" s="9" t="s">
        <v>46</v>
      </c>
      <c r="S4" s="9" t="s">
        <v>61</v>
      </c>
      <c r="T4" s="9" t="s">
        <v>46</v>
      </c>
      <c r="U4" s="10"/>
    </row>
    <row r="5" spans="1:21" x14ac:dyDescent="0.25">
      <c r="A5" s="8">
        <v>4</v>
      </c>
      <c r="B5" s="9" t="s">
        <v>13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66</v>
      </c>
      <c r="H5" s="10">
        <v>46324.523748611115</v>
      </c>
      <c r="I5" s="9" t="s">
        <v>52</v>
      </c>
      <c r="J5" s="12" t="s">
        <v>11</v>
      </c>
      <c r="K5" s="9" t="s">
        <v>67</v>
      </c>
      <c r="L5" s="9" t="s">
        <v>8</v>
      </c>
      <c r="M5" s="9" t="s">
        <v>45</v>
      </c>
      <c r="N5" s="9" t="s">
        <v>68</v>
      </c>
      <c r="O5" s="9" t="s">
        <v>46</v>
      </c>
      <c r="P5" s="9" t="s">
        <v>46</v>
      </c>
      <c r="Q5" s="9" t="s">
        <v>46</v>
      </c>
      <c r="R5" s="9" t="s">
        <v>46</v>
      </c>
      <c r="S5" s="9" t="s">
        <v>69</v>
      </c>
      <c r="T5" s="9" t="s">
        <v>46</v>
      </c>
      <c r="U5" s="10"/>
    </row>
    <row r="6" spans="9:12" x14ac:dyDescent="0.25"/>
    <row r="7" spans="9:12" x14ac:dyDescent="0.25"/>
    <row r="8" spans="9:12" x14ac:dyDescent="0.25"/>
    <row r="9" spans="9:12" x14ac:dyDescent="0.25"/>
    <row r="10" spans="9:12" x14ac:dyDescent="0.25"/>
    <row r="11" spans="9:12" x14ac:dyDescent="0.25"/>
    <row r="12" spans="9:12" x14ac:dyDescent="0.25"/>
    <row r="13" spans="9:12" x14ac:dyDescent="0.25"/>
    <row r="14" spans="9:12" x14ac:dyDescent="0.25"/>
    <row r="15" spans="9:12" x14ac:dyDescent="0.25"/>
    <row r="16" spans="9:12" x14ac:dyDescent="0.25"/>
    <row r="17" spans="9:12" x14ac:dyDescent="0.25"/>
    <row r="18" spans="9:12" x14ac:dyDescent="0.25"/>
    <row r="19" spans="9:12" x14ac:dyDescent="0.25"/>
    <row r="20" spans="9:12" x14ac:dyDescent="0.25"/>
    <row r="21" spans="9:12" x14ac:dyDescent="0.25"/>
    <row r="22" spans="9:12" x14ac:dyDescent="0.25"/>
    <row r="23" spans="9:12" x14ac:dyDescent="0.25"/>
    <row r="24" spans="9:12" x14ac:dyDescent="0.25"/>
    <row r="25" spans="9:12" x14ac:dyDescent="0.25"/>
    <row r="26" spans="9:12" x14ac:dyDescent="0.25"/>
    <row r="27" spans="9:12" x14ac:dyDescent="0.25"/>
    <row r="28" spans="9:12" x14ac:dyDescent="0.25"/>
    <row r="29" spans="9:12" x14ac:dyDescent="0.25"/>
    <row r="30" spans="9:12" x14ac:dyDescent="0.25"/>
    <row r="31" spans="9:12" x14ac:dyDescent="0.25"/>
    <row r="32" spans="9:12" x14ac:dyDescent="0.25"/>
    <row r="33" spans="9:12" x14ac:dyDescent="0.25"/>
    <row r="34" spans="9:12" x14ac:dyDescent="0.25"/>
    <row r="35" spans="9:12" x14ac:dyDescent="0.25"/>
    <row r="36" spans="9:12" x14ac:dyDescent="0.25"/>
    <row r="37" spans="9:12" x14ac:dyDescent="0.25"/>
    <row r="38" spans="9:12" x14ac:dyDescent="0.25"/>
    <row r="39" spans="9:12" x14ac:dyDescent="0.25"/>
    <row r="40" spans="9:12" x14ac:dyDescent="0.25"/>
    <row r="41" spans="9:12" x14ac:dyDescent="0.25"/>
    <row r="42" spans="9:12" x14ac:dyDescent="0.25"/>
    <row r="43" spans="9:12" x14ac:dyDescent="0.25"/>
    <row r="44" spans="9:12" x14ac:dyDescent="0.25"/>
    <row r="45" spans="9:12" x14ac:dyDescent="0.25"/>
    <row r="46" spans="9:12" x14ac:dyDescent="0.25"/>
    <row r="47" spans="9:12" x14ac:dyDescent="0.25"/>
    <row r="48" spans="9:12" x14ac:dyDescent="0.25"/>
    <row r="49" spans="9:12" x14ac:dyDescent="0.25"/>
    <row r="50" spans="9:12" x14ac:dyDescent="0.25"/>
    <row r="51" spans="9:12" x14ac:dyDescent="0.25"/>
    <row r="52" spans="9:12" x14ac:dyDescent="0.25"/>
    <row r="53" spans="9:12" x14ac:dyDescent="0.25"/>
    <row r="54" spans="9:12" x14ac:dyDescent="0.25"/>
    <row r="55" spans="9:12" x14ac:dyDescent="0.25"/>
    <row r="56" spans="9:12" x14ac:dyDescent="0.25"/>
    <row r="57" spans="9:12" x14ac:dyDescent="0.25"/>
    <row r="58" spans="9:12" x14ac:dyDescent="0.25"/>
    <row r="59" spans="9:12" x14ac:dyDescent="0.25"/>
    <row r="60" spans="9:12" x14ac:dyDescent="0.25"/>
    <row r="61" spans="9:12" x14ac:dyDescent="0.25"/>
    <row r="62" spans="9:12" x14ac:dyDescent="0.25"/>
    <row r="63" spans="9:12" x14ac:dyDescent="0.25"/>
    <row r="64" spans="9:12" x14ac:dyDescent="0.25"/>
    <row r="65" spans="9:12" x14ac:dyDescent="0.25"/>
    <row r="66" spans="9:12" x14ac:dyDescent="0.25"/>
    <row r="67" spans="9:12" x14ac:dyDescent="0.25"/>
    <row r="68" spans="9:12" x14ac:dyDescent="0.25"/>
    <row r="69" spans="9:12" x14ac:dyDescent="0.25"/>
    <row r="70" spans="9:12" x14ac:dyDescent="0.25"/>
    <row r="71" spans="9:12" x14ac:dyDescent="0.25"/>
    <row r="72" spans="9:12" x14ac:dyDescent="0.25"/>
    <row r="73" spans="9:12" x14ac:dyDescent="0.25"/>
    <row r="74" spans="9:12" x14ac:dyDescent="0.25"/>
    <row r="75" spans="9:12" x14ac:dyDescent="0.25"/>
    <row r="76" spans="9:12" x14ac:dyDescent="0.25"/>
    <row r="77" spans="9:12" x14ac:dyDescent="0.25"/>
    <row r="78" spans="9:12" x14ac:dyDescent="0.25"/>
    <row r="79" spans="9:12" x14ac:dyDescent="0.25"/>
    <row r="80" spans="9:12" x14ac:dyDescent="0.25"/>
    <row r="81" spans="9:12" x14ac:dyDescent="0.25"/>
    <row r="82" spans="9:12" x14ac:dyDescent="0.25"/>
    <row r="83" spans="9:12" x14ac:dyDescent="0.25"/>
    <row r="84" spans="9:12" x14ac:dyDescent="0.25"/>
    <row r="85" spans="9:12" x14ac:dyDescent="0.25"/>
    <row r="86" spans="9:12" x14ac:dyDescent="0.25"/>
    <row r="87" spans="9:12" x14ac:dyDescent="0.25"/>
    <row r="88" spans="9:12" x14ac:dyDescent="0.25"/>
    <row r="89" spans="9:12" x14ac:dyDescent="0.25"/>
    <row r="90" spans="9:12" x14ac:dyDescent="0.25"/>
    <row r="91" spans="9:12" x14ac:dyDescent="0.25"/>
    <row r="92" spans="9:12" x14ac:dyDescent="0.25"/>
    <row r="93" spans="9:12" x14ac:dyDescent="0.25"/>
    <row r="94" spans="9:12" x14ac:dyDescent="0.25"/>
    <row r="95" spans="9:12" x14ac:dyDescent="0.25"/>
    <row r="96" spans="9:12" x14ac:dyDescent="0.25"/>
    <row r="97" spans="9:12" x14ac:dyDescent="0.25"/>
    <row r="98" spans="9:12" x14ac:dyDescent="0.25"/>
    <row r="99" spans="9:12" x14ac:dyDescent="0.25"/>
    <row r="100" spans="9:12" x14ac:dyDescent="0.25"/>
    <row r="101" spans="9:12" x14ac:dyDescent="0.25"/>
    <row r="102" spans="9:12" x14ac:dyDescent="0.25"/>
    <row r="103" spans="9:12" x14ac:dyDescent="0.25"/>
    <row r="104" spans="9:12" x14ac:dyDescent="0.25"/>
    <row r="105" spans="9:12" x14ac:dyDescent="0.25"/>
    <row r="106" spans="9:12" x14ac:dyDescent="0.25"/>
    <row r="107" spans="9:12" x14ac:dyDescent="0.25"/>
    <row r="108" spans="9:12" x14ac:dyDescent="0.25"/>
    <row r="109" spans="9:12" x14ac:dyDescent="0.25"/>
    <row r="110" spans="9:12" x14ac:dyDescent="0.25"/>
    <row r="111" spans="9:12" x14ac:dyDescent="0.25"/>
    <row r="112" spans="9:12" x14ac:dyDescent="0.25"/>
    <row r="113" spans="9:12" x14ac:dyDescent="0.25"/>
    <row r="114" spans="9:12" x14ac:dyDescent="0.25"/>
    <row r="115" spans="9:12" x14ac:dyDescent="0.25"/>
    <row r="116" spans="9:12" x14ac:dyDescent="0.25"/>
    <row r="117" spans="9:12" x14ac:dyDescent="0.25"/>
    <row r="118" spans="9:12" x14ac:dyDescent="0.25"/>
    <row r="119" spans="9:12" x14ac:dyDescent="0.25"/>
    <row r="120" spans="9:12" x14ac:dyDescent="0.25"/>
    <row r="121" spans="9:12" x14ac:dyDescent="0.25"/>
    <row r="122" spans="9:12" x14ac:dyDescent="0.25"/>
    <row r="123" spans="9:12" x14ac:dyDescent="0.25"/>
    <row r="124" spans="9:12" x14ac:dyDescent="0.25"/>
    <row r="125" spans="9:12" x14ac:dyDescent="0.25"/>
    <row r="126" spans="9:12" x14ac:dyDescent="0.25"/>
    <row r="127" spans="9:12" x14ac:dyDescent="0.25"/>
    <row r="128" spans="9:12" x14ac:dyDescent="0.25"/>
    <row r="129" spans="9:12" x14ac:dyDescent="0.25"/>
    <row r="130" spans="9:12" x14ac:dyDescent="0.25"/>
    <row r="131" spans="9:12" x14ac:dyDescent="0.25"/>
    <row r="132" spans="9:12" x14ac:dyDescent="0.25"/>
    <row r="133" spans="9:12" x14ac:dyDescent="0.25"/>
    <row r="134" spans="9:12" x14ac:dyDescent="0.25"/>
    <row r="135" spans="9:12" x14ac:dyDescent="0.25"/>
    <row r="136" spans="9:12" x14ac:dyDescent="0.25"/>
    <row r="137" spans="9:12" x14ac:dyDescent="0.25"/>
    <row r="138" spans="9:12" x14ac:dyDescent="0.25"/>
    <row r="139" spans="9:12" x14ac:dyDescent="0.25"/>
    <row r="140" spans="9:12" x14ac:dyDescent="0.25"/>
    <row r="141" spans="9:12" x14ac:dyDescent="0.25"/>
    <row r="142" spans="9:12" x14ac:dyDescent="0.25"/>
    <row r="143" spans="9:12" x14ac:dyDescent="0.25"/>
    <row r="144" spans="9:12" x14ac:dyDescent="0.25"/>
    <row r="145" spans="9:12" x14ac:dyDescent="0.25"/>
    <row r="146" spans="9:12" x14ac:dyDescent="0.25"/>
    <row r="147" spans="9:12" x14ac:dyDescent="0.25"/>
    <row r="148" spans="9:12" x14ac:dyDescent="0.25"/>
    <row r="149" spans="9:12" x14ac:dyDescent="0.25"/>
    <row r="150" spans="9:12" x14ac:dyDescent="0.25"/>
    <row r="151" spans="9:12" x14ac:dyDescent="0.25"/>
    <row r="152" spans="9:12" x14ac:dyDescent="0.25"/>
    <row r="153" spans="9:12" x14ac:dyDescent="0.25"/>
    <row r="154" spans="9:12" x14ac:dyDescent="0.25"/>
    <row r="155" spans="9:12" x14ac:dyDescent="0.25"/>
    <row r="156" spans="9:12" x14ac:dyDescent="0.25"/>
    <row r="157" spans="9:12" x14ac:dyDescent="0.25"/>
    <row r="158" spans="9:12" x14ac:dyDescent="0.25"/>
    <row r="159" spans="9:12" x14ac:dyDescent="0.25"/>
    <row r="160" spans="9:12" x14ac:dyDescent="0.25"/>
    <row r="161" spans="9:12" x14ac:dyDescent="0.25"/>
    <row r="162" spans="9:12" x14ac:dyDescent="0.25"/>
    <row r="163" spans="9:12" x14ac:dyDescent="0.25"/>
    <row r="164" spans="9:12" x14ac:dyDescent="0.25"/>
    <row r="165" spans="9:12" x14ac:dyDescent="0.25"/>
    <row r="166" spans="9:12" x14ac:dyDescent="0.25"/>
    <row r="167" spans="9:12" x14ac:dyDescent="0.25"/>
    <row r="168" spans="9:12" x14ac:dyDescent="0.25"/>
    <row r="169" spans="9:12" x14ac:dyDescent="0.25"/>
    <row r="170" spans="9:12" x14ac:dyDescent="0.25"/>
    <row r="171" spans="9:12" x14ac:dyDescent="0.25"/>
    <row r="172" spans="9:12" x14ac:dyDescent="0.25"/>
    <row r="173" spans="9:12" x14ac:dyDescent="0.25"/>
    <row r="174" spans="9:12" x14ac:dyDescent="0.25"/>
    <row r="175" spans="9:12" x14ac:dyDescent="0.25"/>
    <row r="176" spans="9:12" x14ac:dyDescent="0.25"/>
    <row r="177" spans="9:12" x14ac:dyDescent="0.25"/>
    <row r="178" spans="9:12" x14ac:dyDescent="0.25"/>
    <row r="179" spans="9:12" x14ac:dyDescent="0.25"/>
    <row r="180" spans="9:12" x14ac:dyDescent="0.25"/>
    <row r="181" spans="9:12" x14ac:dyDescent="0.25"/>
    <row r="182" spans="9:12" x14ac:dyDescent="0.25"/>
    <row r="183" spans="9:12" x14ac:dyDescent="0.25"/>
    <row r="184" spans="9:12" x14ac:dyDescent="0.25"/>
    <row r="185" spans="9:12" x14ac:dyDescent="0.25"/>
    <row r="186" spans="9:12" x14ac:dyDescent="0.25"/>
    <row r="187" spans="9:12" x14ac:dyDescent="0.25"/>
    <row r="188" spans="9:12" x14ac:dyDescent="0.25"/>
    <row r="189" spans="9:12" x14ac:dyDescent="0.25"/>
    <row r="190" spans="9:12" x14ac:dyDescent="0.25"/>
    <row r="191" spans="9:12" x14ac:dyDescent="0.25"/>
    <row r="192" spans="9:12" x14ac:dyDescent="0.25"/>
    <row r="193" spans="9:12" x14ac:dyDescent="0.25"/>
    <row r="194" spans="9:12" x14ac:dyDescent="0.25"/>
    <row r="195" spans="9:12" x14ac:dyDescent="0.25"/>
    <row r="196" spans="9:12" x14ac:dyDescent="0.25"/>
    <row r="197" spans="9:12" x14ac:dyDescent="0.25"/>
    <row r="198" spans="9:12" x14ac:dyDescent="0.25"/>
    <row r="199" spans="9:12" x14ac:dyDescent="0.25"/>
    <row r="200" spans="9:12" x14ac:dyDescent="0.25"/>
    <row r="201" spans="9:12" x14ac:dyDescent="0.25"/>
    <row r="202" spans="9:12" x14ac:dyDescent="0.25"/>
  </sheetData>
  <autoFilter ref="A1:U202"/>
  <dataValidations count="8">
    <dataValidation type="list" allowBlank="1" sqref="I10:I202">
      <formula1>"Bug,Enhancement,Observation,Data Issue,Accessibility,Needs Decision"</formula1>
    </dataValidation>
    <dataValidation type="list" allowBlank="1" sqref="I2:I202">
      <formula1>"Bug,Enhancement,Observation,Data Issue,Accessibility,Needs Decision"</formula1>
    </dataValidation>
    <dataValidation type="list" allowBlank="1" sqref="J10:J202">
      <formula1>"Critical,High,Medium,Low"</formula1>
    </dataValidation>
    <dataValidation type="list" allowBlank="1" sqref="J2:J202">
      <formula1>"Critical,High,Medium,Low"</formula1>
    </dataValidation>
    <dataValidation type="list" allowBlank="1" sqref="K10:K202">
      <formula1>"P1 - Urgent,P2 - High,P3 - Medium,P4 - Low"</formula1>
    </dataValidation>
    <dataValidation type="list" allowBlank="1" sqref="K2:K202">
      <formula1>"P1 - Urgent,P2 - High,P3 - Medium,P4 - Low"</formula1>
    </dataValidation>
    <dataValidation type="list" allowBlank="1" sqref="L10:L202">
      <formula1>"Open,In Progress,Ready for Retest,Reopened,Closed,Won't Fix,Needs Decision"</formula1>
    </dataValidation>
    <dataValidation type="list" allowBlank="1" sqref="L2:L202">
      <formula1>"Open,In Progress,Ready for Retest,Reopened,Closed,Won't Fix,Needs Decision"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2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8" customWidth="1"/>
    <col min="4" max="4" width="40" customWidth="1"/>
    <col min="5" max="5" width="60" customWidth="1"/>
    <col min="6" max="6" width="40" customWidth="1"/>
    <col min="7" max="7" width="45" customWidth="1"/>
    <col min="8" max="8" width="12" customWidth="1"/>
    <col min="9" max="9" width="14" customWidth="1"/>
    <col min="10" max="10" width="11" customWidth="1"/>
    <col min="11" max="11" width="13" customWidth="1"/>
    <col min="12" max="12" width="16" customWidth="1"/>
    <col min="13" max="13" width="24" customWidth="1"/>
    <col min="14" max="14" width="36" customWidth="1"/>
    <col min="15" max="15" width="20" customWidth="1"/>
    <col min="16" max="18" width="14" customWidth="1"/>
    <col min="19" max="19" width="50" customWidth="1"/>
    <col min="20" max="20" width="30" customWidth="1"/>
    <col min="21" max="21" width="12" customWidth="1"/>
  </cols>
  <sheetData>
    <row r="1" ht="48" customHeight="1" spans="1:2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  <c r="R1" s="7" t="s">
        <v>34</v>
      </c>
      <c r="S1" s="7" t="s">
        <v>35</v>
      </c>
      <c r="T1" s="7" t="s">
        <v>36</v>
      </c>
      <c r="U1" s="7" t="s">
        <v>37</v>
      </c>
    </row>
    <row r="2" spans="1:21" x14ac:dyDescent="0.25">
      <c r="A2" s="8">
        <v>1</v>
      </c>
      <c r="B2" s="9" t="s">
        <v>14</v>
      </c>
      <c r="C2" s="9" t="s">
        <v>70</v>
      </c>
      <c r="D2" s="9" t="s">
        <v>71</v>
      </c>
      <c r="E2" s="9" t="s">
        <v>72</v>
      </c>
      <c r="F2" s="9" t="s">
        <v>73</v>
      </c>
      <c r="G2" s="9" t="s">
        <v>74</v>
      </c>
      <c r="H2" s="10">
        <v>46325.47373967593</v>
      </c>
      <c r="I2" s="9" t="s">
        <v>52</v>
      </c>
      <c r="J2" s="11" t="s">
        <v>12</v>
      </c>
      <c r="K2" s="9" t="s">
        <v>67</v>
      </c>
      <c r="L2" s="9" t="s">
        <v>8</v>
      </c>
      <c r="M2" s="9" t="s">
        <v>75</v>
      </c>
      <c r="N2" s="13" t="s">
        <v>76</v>
      </c>
      <c r="O2" s="9" t="s">
        <v>46</v>
      </c>
      <c r="P2" s="9" t="s">
        <v>46</v>
      </c>
      <c r="Q2" s="9" t="s">
        <v>46</v>
      </c>
      <c r="R2" s="9" t="s">
        <v>46</v>
      </c>
      <c r="S2" s="9" t="s">
        <v>77</v>
      </c>
      <c r="T2" s="9" t="s">
        <v>46</v>
      </c>
      <c r="U2" s="10"/>
    </row>
    <row r="3" spans="1:21" x14ac:dyDescent="0.25">
      <c r="A3" s="8">
        <v>2</v>
      </c>
      <c r="B3" s="9" t="s">
        <v>14</v>
      </c>
      <c r="C3" s="9" t="s">
        <v>78</v>
      </c>
      <c r="D3" s="9" t="s">
        <v>79</v>
      </c>
      <c r="E3" s="9" t="s">
        <v>80</v>
      </c>
      <c r="F3" s="9" t="s">
        <v>81</v>
      </c>
      <c r="G3" s="9" t="s">
        <v>82</v>
      </c>
      <c r="H3" s="10">
        <v>46325.47373967593</v>
      </c>
      <c r="I3" s="9" t="s">
        <v>43</v>
      </c>
      <c r="J3" s="11" t="s">
        <v>12</v>
      </c>
      <c r="K3" s="9" t="s">
        <v>44</v>
      </c>
      <c r="L3" s="9" t="s">
        <v>2</v>
      </c>
      <c r="M3" s="9" t="s">
        <v>75</v>
      </c>
      <c r="N3" s="13" t="s">
        <v>83</v>
      </c>
      <c r="O3" s="9" t="s">
        <v>46</v>
      </c>
      <c r="P3" s="9" t="s">
        <v>46</v>
      </c>
      <c r="Q3" s="9" t="s">
        <v>46</v>
      </c>
      <c r="R3" s="9" t="s">
        <v>46</v>
      </c>
      <c r="S3" s="9" t="s">
        <v>84</v>
      </c>
      <c r="T3" s="9" t="s">
        <v>46</v>
      </c>
      <c r="U3" s="10"/>
    </row>
    <row r="4" spans="1:21" x14ac:dyDescent="0.25">
      <c r="A4" s="8">
        <v>3</v>
      </c>
      <c r="B4" s="9" t="s">
        <v>14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10">
        <v>46325.47373967593</v>
      </c>
      <c r="I4" s="9" t="s">
        <v>52</v>
      </c>
      <c r="J4" s="11" t="s">
        <v>12</v>
      </c>
      <c r="K4" s="9" t="s">
        <v>44</v>
      </c>
      <c r="L4" s="9" t="s">
        <v>8</v>
      </c>
      <c r="M4" s="9" t="s">
        <v>45</v>
      </c>
      <c r="N4" s="13" t="s">
        <v>90</v>
      </c>
      <c r="O4" s="9" t="s">
        <v>46</v>
      </c>
      <c r="P4" s="9" t="s">
        <v>46</v>
      </c>
      <c r="Q4" s="9" t="s">
        <v>46</v>
      </c>
      <c r="R4" s="9" t="s">
        <v>46</v>
      </c>
      <c r="S4" s="9" t="s">
        <v>91</v>
      </c>
      <c r="T4" s="9" t="s">
        <v>46</v>
      </c>
      <c r="U4" s="10"/>
    </row>
    <row r="5" spans="9:12" x14ac:dyDescent="0.25"/>
    <row r="6" spans="9:12" x14ac:dyDescent="0.25"/>
    <row r="7" spans="9:12" x14ac:dyDescent="0.25"/>
    <row r="8" spans="9:12" x14ac:dyDescent="0.25"/>
    <row r="9" spans="9:12" x14ac:dyDescent="0.25"/>
    <row r="10" spans="9:12" x14ac:dyDescent="0.25"/>
    <row r="11" spans="9:12" x14ac:dyDescent="0.25"/>
    <row r="12" spans="9:12" x14ac:dyDescent="0.25"/>
    <row r="13" spans="9:12" x14ac:dyDescent="0.25"/>
    <row r="14" spans="9:12" x14ac:dyDescent="0.25"/>
    <row r="15" spans="9:12" x14ac:dyDescent="0.25"/>
    <row r="16" spans="9:12" x14ac:dyDescent="0.25"/>
    <row r="17" spans="9:12" x14ac:dyDescent="0.25"/>
    <row r="18" spans="9:12" x14ac:dyDescent="0.25"/>
    <row r="19" spans="9:12" x14ac:dyDescent="0.25"/>
    <row r="20" spans="9:12" x14ac:dyDescent="0.25"/>
    <row r="21" spans="9:12" x14ac:dyDescent="0.25"/>
    <row r="22" spans="9:12" x14ac:dyDescent="0.25"/>
    <row r="23" spans="9:12" x14ac:dyDescent="0.25"/>
    <row r="24" spans="9:12" x14ac:dyDescent="0.25"/>
    <row r="25" spans="9:12" x14ac:dyDescent="0.25"/>
    <row r="26" spans="9:12" x14ac:dyDescent="0.25"/>
    <row r="27" spans="9:12" x14ac:dyDescent="0.25"/>
    <row r="28" spans="9:12" x14ac:dyDescent="0.25"/>
    <row r="29" spans="9:12" x14ac:dyDescent="0.25"/>
    <row r="30" spans="9:12" x14ac:dyDescent="0.25"/>
    <row r="31" spans="9:12" x14ac:dyDescent="0.25"/>
    <row r="32" spans="9:12" x14ac:dyDescent="0.25"/>
    <row r="33" spans="9:12" x14ac:dyDescent="0.25"/>
    <row r="34" spans="9:12" x14ac:dyDescent="0.25"/>
    <row r="35" spans="9:12" x14ac:dyDescent="0.25"/>
    <row r="36" spans="9:12" x14ac:dyDescent="0.25"/>
    <row r="37" spans="9:12" x14ac:dyDescent="0.25"/>
    <row r="38" spans="9:12" x14ac:dyDescent="0.25"/>
    <row r="39" spans="9:12" x14ac:dyDescent="0.25"/>
    <row r="40" spans="9:12" x14ac:dyDescent="0.25"/>
    <row r="41" spans="9:12" x14ac:dyDescent="0.25"/>
    <row r="42" spans="9:12" x14ac:dyDescent="0.25"/>
    <row r="43" spans="9:12" x14ac:dyDescent="0.25"/>
    <row r="44" spans="9:12" x14ac:dyDescent="0.25"/>
    <row r="45" spans="9:12" x14ac:dyDescent="0.25"/>
    <row r="46" spans="9:12" x14ac:dyDescent="0.25"/>
    <row r="47" spans="9:12" x14ac:dyDescent="0.25"/>
    <row r="48" spans="9:12" x14ac:dyDescent="0.25"/>
    <row r="49" spans="9:12" x14ac:dyDescent="0.25"/>
    <row r="50" spans="9:12" x14ac:dyDescent="0.25"/>
    <row r="51" spans="9:12" x14ac:dyDescent="0.25"/>
    <row r="52" spans="9:12" x14ac:dyDescent="0.25"/>
    <row r="53" spans="9:12" x14ac:dyDescent="0.25"/>
    <row r="54" spans="9:12" x14ac:dyDescent="0.25"/>
    <row r="55" spans="9:12" x14ac:dyDescent="0.25"/>
    <row r="56" spans="9:12" x14ac:dyDescent="0.25"/>
    <row r="57" spans="9:12" x14ac:dyDescent="0.25"/>
    <row r="58" spans="9:12" x14ac:dyDescent="0.25"/>
    <row r="59" spans="9:12" x14ac:dyDescent="0.25"/>
    <row r="60" spans="9:12" x14ac:dyDescent="0.25"/>
    <row r="61" spans="9:12" x14ac:dyDescent="0.25"/>
    <row r="62" spans="9:12" x14ac:dyDescent="0.25"/>
    <row r="63" spans="9:12" x14ac:dyDescent="0.25"/>
    <row r="64" spans="9:12" x14ac:dyDescent="0.25"/>
    <row r="65" spans="9:12" x14ac:dyDescent="0.25"/>
    <row r="66" spans="9:12" x14ac:dyDescent="0.25"/>
    <row r="67" spans="9:12" x14ac:dyDescent="0.25"/>
    <row r="68" spans="9:12" x14ac:dyDescent="0.25"/>
    <row r="69" spans="9:12" x14ac:dyDescent="0.25"/>
    <row r="70" spans="9:12" x14ac:dyDescent="0.25"/>
    <row r="71" spans="9:12" x14ac:dyDescent="0.25"/>
    <row r="72" spans="9:12" x14ac:dyDescent="0.25"/>
    <row r="73" spans="9:12" x14ac:dyDescent="0.25"/>
    <row r="74" spans="9:12" x14ac:dyDescent="0.25"/>
    <row r="75" spans="9:12" x14ac:dyDescent="0.25"/>
    <row r="76" spans="9:12" x14ac:dyDescent="0.25"/>
    <row r="77" spans="9:12" x14ac:dyDescent="0.25"/>
    <row r="78" spans="9:12" x14ac:dyDescent="0.25"/>
    <row r="79" spans="9:12" x14ac:dyDescent="0.25"/>
    <row r="80" spans="9:12" x14ac:dyDescent="0.25"/>
    <row r="81" spans="9:12" x14ac:dyDescent="0.25"/>
    <row r="82" spans="9:12" x14ac:dyDescent="0.25"/>
    <row r="83" spans="9:12" x14ac:dyDescent="0.25"/>
    <row r="84" spans="9:12" x14ac:dyDescent="0.25"/>
    <row r="85" spans="9:12" x14ac:dyDescent="0.25"/>
    <row r="86" spans="9:12" x14ac:dyDescent="0.25"/>
    <row r="87" spans="9:12" x14ac:dyDescent="0.25"/>
    <row r="88" spans="9:12" x14ac:dyDescent="0.25"/>
    <row r="89" spans="9:12" x14ac:dyDescent="0.25"/>
    <row r="90" spans="9:12" x14ac:dyDescent="0.25"/>
    <row r="91" spans="9:12" x14ac:dyDescent="0.25"/>
    <row r="92" spans="9:12" x14ac:dyDescent="0.25"/>
    <row r="93" spans="9:12" x14ac:dyDescent="0.25"/>
    <row r="94" spans="9:12" x14ac:dyDescent="0.25"/>
    <row r="95" spans="9:12" x14ac:dyDescent="0.25"/>
    <row r="96" spans="9:12" x14ac:dyDescent="0.25"/>
    <row r="97" spans="9:12" x14ac:dyDescent="0.25"/>
    <row r="98" spans="9:12" x14ac:dyDescent="0.25"/>
    <row r="99" spans="9:12" x14ac:dyDescent="0.25"/>
    <row r="100" spans="9:12" x14ac:dyDescent="0.25"/>
    <row r="101" spans="9:12" x14ac:dyDescent="0.25"/>
    <row r="102" spans="9:12" x14ac:dyDescent="0.25"/>
    <row r="103" spans="9:12" x14ac:dyDescent="0.25"/>
    <row r="104" spans="9:12" x14ac:dyDescent="0.25"/>
    <row r="105" spans="9:12" x14ac:dyDescent="0.25"/>
    <row r="106" spans="9:12" x14ac:dyDescent="0.25"/>
    <row r="107" spans="9:12" x14ac:dyDescent="0.25"/>
    <row r="108" spans="9:12" x14ac:dyDescent="0.25"/>
    <row r="109" spans="9:12" x14ac:dyDescent="0.25"/>
    <row r="110" spans="9:12" x14ac:dyDescent="0.25"/>
    <row r="111" spans="9:12" x14ac:dyDescent="0.25"/>
    <row r="112" spans="9:12" x14ac:dyDescent="0.25"/>
    <row r="113" spans="9:12" x14ac:dyDescent="0.25"/>
    <row r="114" spans="9:12" x14ac:dyDescent="0.25"/>
    <row r="115" spans="9:12" x14ac:dyDescent="0.25"/>
    <row r="116" spans="9:12" x14ac:dyDescent="0.25"/>
    <row r="117" spans="9:12" x14ac:dyDescent="0.25"/>
    <row r="118" spans="9:12" x14ac:dyDescent="0.25"/>
    <row r="119" spans="9:12" x14ac:dyDescent="0.25"/>
    <row r="120" spans="9:12" x14ac:dyDescent="0.25"/>
    <row r="121" spans="9:12" x14ac:dyDescent="0.25"/>
    <row r="122" spans="9:12" x14ac:dyDescent="0.25"/>
    <row r="123" spans="9:12" x14ac:dyDescent="0.25"/>
    <row r="124" spans="9:12" x14ac:dyDescent="0.25"/>
    <row r="125" spans="9:12" x14ac:dyDescent="0.25"/>
    <row r="126" spans="9:12" x14ac:dyDescent="0.25"/>
    <row r="127" spans="9:12" x14ac:dyDescent="0.25"/>
    <row r="128" spans="9:12" x14ac:dyDescent="0.25"/>
    <row r="129" spans="9:12" x14ac:dyDescent="0.25"/>
    <row r="130" spans="9:12" x14ac:dyDescent="0.25"/>
    <row r="131" spans="9:12" x14ac:dyDescent="0.25"/>
    <row r="132" spans="9:12" x14ac:dyDescent="0.25"/>
    <row r="133" spans="9:12" x14ac:dyDescent="0.25"/>
    <row r="134" spans="9:12" x14ac:dyDescent="0.25"/>
    <row r="135" spans="9:12" x14ac:dyDescent="0.25"/>
    <row r="136" spans="9:12" x14ac:dyDescent="0.25"/>
    <row r="137" spans="9:12" x14ac:dyDescent="0.25"/>
    <row r="138" spans="9:12" x14ac:dyDescent="0.25"/>
    <row r="139" spans="9:12" x14ac:dyDescent="0.25"/>
    <row r="140" spans="9:12" x14ac:dyDescent="0.25"/>
    <row r="141" spans="9:12" x14ac:dyDescent="0.25"/>
    <row r="142" spans="9:12" x14ac:dyDescent="0.25"/>
    <row r="143" spans="9:12" x14ac:dyDescent="0.25"/>
    <row r="144" spans="9:12" x14ac:dyDescent="0.25"/>
    <row r="145" spans="9:12" x14ac:dyDescent="0.25"/>
    <row r="146" spans="9:12" x14ac:dyDescent="0.25"/>
    <row r="147" spans="9:12" x14ac:dyDescent="0.25"/>
    <row r="148" spans="9:12" x14ac:dyDescent="0.25"/>
    <row r="149" spans="9:12" x14ac:dyDescent="0.25"/>
    <row r="150" spans="9:12" x14ac:dyDescent="0.25"/>
    <row r="151" spans="9:12" x14ac:dyDescent="0.25"/>
    <row r="152" spans="9:12" x14ac:dyDescent="0.25"/>
    <row r="153" spans="9:12" x14ac:dyDescent="0.25"/>
    <row r="154" spans="9:12" x14ac:dyDescent="0.25"/>
    <row r="155" spans="9:12" x14ac:dyDescent="0.25"/>
    <row r="156" spans="9:12" x14ac:dyDescent="0.25"/>
    <row r="157" spans="9:12" x14ac:dyDescent="0.25"/>
    <row r="158" spans="9:12" x14ac:dyDescent="0.25"/>
    <row r="159" spans="9:12" x14ac:dyDescent="0.25"/>
    <row r="160" spans="9:12" x14ac:dyDescent="0.25"/>
    <row r="161" spans="9:12" x14ac:dyDescent="0.25"/>
    <row r="162" spans="9:12" x14ac:dyDescent="0.25"/>
    <row r="163" spans="9:12" x14ac:dyDescent="0.25"/>
    <row r="164" spans="9:12" x14ac:dyDescent="0.25"/>
    <row r="165" spans="9:12" x14ac:dyDescent="0.25"/>
    <row r="166" spans="9:12" x14ac:dyDescent="0.25"/>
    <row r="167" spans="9:12" x14ac:dyDescent="0.25"/>
    <row r="168" spans="9:12" x14ac:dyDescent="0.25"/>
    <row r="169" spans="9:12" x14ac:dyDescent="0.25"/>
    <row r="170" spans="9:12" x14ac:dyDescent="0.25"/>
    <row r="171" spans="9:12" x14ac:dyDescent="0.25"/>
    <row r="172" spans="9:12" x14ac:dyDescent="0.25"/>
    <row r="173" spans="9:12" x14ac:dyDescent="0.25"/>
    <row r="174" spans="9:12" x14ac:dyDescent="0.25"/>
    <row r="175" spans="9:12" x14ac:dyDescent="0.25"/>
    <row r="176" spans="9:12" x14ac:dyDescent="0.25"/>
    <row r="177" spans="9:12" x14ac:dyDescent="0.25"/>
    <row r="178" spans="9:12" x14ac:dyDescent="0.25"/>
    <row r="179" spans="9:12" x14ac:dyDescent="0.25"/>
    <row r="180" spans="9:12" x14ac:dyDescent="0.25"/>
    <row r="181" spans="9:12" x14ac:dyDescent="0.25"/>
    <row r="182" spans="9:12" x14ac:dyDescent="0.25"/>
    <row r="183" spans="9:12" x14ac:dyDescent="0.25"/>
    <row r="184" spans="9:12" x14ac:dyDescent="0.25"/>
    <row r="185" spans="9:12" x14ac:dyDescent="0.25"/>
    <row r="186" spans="9:12" x14ac:dyDescent="0.25"/>
    <row r="187" spans="9:12" x14ac:dyDescent="0.25"/>
    <row r="188" spans="9:12" x14ac:dyDescent="0.25"/>
    <row r="189" spans="9:12" x14ac:dyDescent="0.25"/>
    <row r="190" spans="9:12" x14ac:dyDescent="0.25"/>
    <row r="191" spans="9:12" x14ac:dyDescent="0.25"/>
    <row r="192" spans="9:12" x14ac:dyDescent="0.25"/>
    <row r="193" spans="9:12" x14ac:dyDescent="0.25"/>
    <row r="194" spans="9:12" x14ac:dyDescent="0.25"/>
    <row r="195" spans="9:12" x14ac:dyDescent="0.25"/>
    <row r="196" spans="9:12" x14ac:dyDescent="0.25"/>
    <row r="197" spans="9:12" x14ac:dyDescent="0.25"/>
    <row r="198" spans="9:12" x14ac:dyDescent="0.25"/>
    <row r="199" spans="9:12" x14ac:dyDescent="0.25"/>
    <row r="200" spans="9:12" x14ac:dyDescent="0.25"/>
    <row r="201" spans="9:12" x14ac:dyDescent="0.25"/>
    <row r="202" spans="9:12" x14ac:dyDescent="0.25"/>
  </sheetData>
  <autoFilter ref="A1:U202"/>
  <dataValidations count="8">
    <dataValidation type="list" allowBlank="1" sqref="I10:I202">
      <formula1>"Bug,Enhancement,Observation,Data Issue,Accessibility,Needs Decision"</formula1>
    </dataValidation>
    <dataValidation type="list" allowBlank="1" sqref="I2:I202">
      <formula1>"Bug,Enhancement,Observation,Data Issue,Accessibility,Needs Decision"</formula1>
    </dataValidation>
    <dataValidation type="list" allowBlank="1" sqref="J10:J202">
      <formula1>"Critical,High,Medium,Low"</formula1>
    </dataValidation>
    <dataValidation type="list" allowBlank="1" sqref="J2:J202">
      <formula1>"Critical,High,Medium,Low"</formula1>
    </dataValidation>
    <dataValidation type="list" allowBlank="1" sqref="K10:K202">
      <formula1>"P1 - Urgent,P2 - High,P3 - Medium,P4 - Low"</formula1>
    </dataValidation>
    <dataValidation type="list" allowBlank="1" sqref="K2:K202">
      <formula1>"P1 - Urgent,P2 - High,P3 - Medium,P4 - Low"</formula1>
    </dataValidation>
    <dataValidation type="list" allowBlank="1" sqref="L10:L202">
      <formula1>"Open,In Progress,Ready for Retest,Reopened,Closed,Won't Fix,Needs Decision"</formula1>
    </dataValidation>
    <dataValidation type="list" allowBlank="1" sqref="L2:L202">
      <formula1>"Open,In Progress,Ready for Retest,Reopened,Closed,Won't Fix,Needs Decision"</formula1>
    </dataValidation>
  </dataValidations>
  <hyperlinks>
    <hyperlink ref="N2" r:id="rId1"/>
    <hyperlink ref="N3" r:id="rId2"/>
    <hyperlink ref="N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2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8" customWidth="1"/>
    <col min="4" max="4" width="40" customWidth="1"/>
    <col min="5" max="5" width="60" customWidth="1"/>
    <col min="6" max="6" width="40" customWidth="1"/>
    <col min="7" max="7" width="45" customWidth="1"/>
    <col min="8" max="8" width="12" customWidth="1"/>
    <col min="9" max="9" width="14" customWidth="1"/>
    <col min="10" max="10" width="11" customWidth="1"/>
    <col min="11" max="11" width="13" customWidth="1"/>
    <col min="12" max="12" width="16" customWidth="1"/>
    <col min="13" max="13" width="24" customWidth="1"/>
    <col min="14" max="14" width="36" customWidth="1"/>
    <col min="15" max="15" width="20" customWidth="1"/>
    <col min="16" max="18" width="14" customWidth="1"/>
    <col min="19" max="19" width="50" customWidth="1"/>
    <col min="20" max="20" width="30" customWidth="1"/>
    <col min="21" max="21" width="12" customWidth="1"/>
  </cols>
  <sheetData>
    <row r="1" ht="48" customHeight="1" spans="1:21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  <c r="O1" s="7" t="s">
        <v>31</v>
      </c>
      <c r="P1" s="7" t="s">
        <v>32</v>
      </c>
      <c r="Q1" s="7" t="s">
        <v>33</v>
      </c>
      <c r="R1" s="7" t="s">
        <v>34</v>
      </c>
      <c r="S1" s="7" t="s">
        <v>35</v>
      </c>
      <c r="T1" s="7" t="s">
        <v>36</v>
      </c>
      <c r="U1" s="7" t="s">
        <v>37</v>
      </c>
    </row>
    <row r="2" spans="1:21" x14ac:dyDescent="0.25">
      <c r="A2" s="8">
        <v>1</v>
      </c>
      <c r="B2" s="9" t="s">
        <v>15</v>
      </c>
      <c r="C2" s="9" t="s">
        <v>92</v>
      </c>
      <c r="D2" s="9" t="s">
        <v>93</v>
      </c>
      <c r="E2" s="9" t="s">
        <v>94</v>
      </c>
      <c r="F2" s="9" t="s">
        <v>95</v>
      </c>
      <c r="G2" s="9" t="s">
        <v>96</v>
      </c>
      <c r="H2" s="10">
        <v>46326.34621974537</v>
      </c>
      <c r="I2" s="9" t="s">
        <v>43</v>
      </c>
      <c r="J2" s="12" t="s">
        <v>11</v>
      </c>
      <c r="K2" s="9" t="s">
        <v>97</v>
      </c>
      <c r="L2" s="9" t="s">
        <v>2</v>
      </c>
      <c r="M2" s="9" t="s">
        <v>75</v>
      </c>
      <c r="N2" s="13" t="s">
        <v>98</v>
      </c>
      <c r="O2" s="9" t="s">
        <v>46</v>
      </c>
      <c r="P2" s="9" t="s">
        <v>46</v>
      </c>
      <c r="Q2" s="9" t="s">
        <v>46</v>
      </c>
      <c r="R2" s="9" t="s">
        <v>46</v>
      </c>
      <c r="S2" s="9" t="s">
        <v>99</v>
      </c>
      <c r="T2" s="9" t="s">
        <v>46</v>
      </c>
      <c r="U2" s="10"/>
    </row>
    <row r="3" spans="1:21" x14ac:dyDescent="0.25">
      <c r="A3" s="8">
        <v>2</v>
      </c>
      <c r="B3" s="9" t="s">
        <v>15</v>
      </c>
      <c r="C3" s="9" t="s">
        <v>85</v>
      </c>
      <c r="D3" s="9" t="s">
        <v>100</v>
      </c>
      <c r="E3" s="9" t="s">
        <v>101</v>
      </c>
      <c r="F3" s="9" t="s">
        <v>102</v>
      </c>
      <c r="G3" s="9" t="s">
        <v>103</v>
      </c>
      <c r="H3" s="10">
        <v>46326.34621974537</v>
      </c>
      <c r="I3" s="9" t="s">
        <v>52</v>
      </c>
      <c r="J3" s="11" t="s">
        <v>12</v>
      </c>
      <c r="K3" s="9" t="s">
        <v>44</v>
      </c>
      <c r="L3" s="9" t="s">
        <v>8</v>
      </c>
      <c r="M3" s="9" t="s">
        <v>45</v>
      </c>
      <c r="N3" s="13" t="s">
        <v>98</v>
      </c>
      <c r="O3" s="9" t="s">
        <v>46</v>
      </c>
      <c r="P3" s="9" t="s">
        <v>46</v>
      </c>
      <c r="Q3" s="9" t="s">
        <v>46</v>
      </c>
      <c r="R3" s="9" t="s">
        <v>46</v>
      </c>
      <c r="S3" s="9" t="s">
        <v>104</v>
      </c>
      <c r="T3" s="9" t="s">
        <v>46</v>
      </c>
      <c r="U3" s="10"/>
    </row>
    <row r="4" spans="9:12" x14ac:dyDescent="0.25"/>
    <row r="5" spans="9:12" x14ac:dyDescent="0.25"/>
    <row r="6" spans="9:12" x14ac:dyDescent="0.25"/>
    <row r="7" spans="9:12" x14ac:dyDescent="0.25"/>
    <row r="8" spans="9:12" x14ac:dyDescent="0.25"/>
    <row r="9" spans="9:12" x14ac:dyDescent="0.25"/>
    <row r="10" spans="9:12" x14ac:dyDescent="0.25"/>
    <row r="11" spans="9:12" x14ac:dyDescent="0.25"/>
    <row r="12" spans="9:12" x14ac:dyDescent="0.25"/>
    <row r="13" spans="9:12" x14ac:dyDescent="0.25"/>
    <row r="14" spans="9:12" x14ac:dyDescent="0.25"/>
    <row r="15" spans="9:12" x14ac:dyDescent="0.25"/>
    <row r="16" spans="9:12" x14ac:dyDescent="0.25"/>
    <row r="17" spans="9:12" x14ac:dyDescent="0.25"/>
    <row r="18" spans="9:12" x14ac:dyDescent="0.25"/>
    <row r="19" spans="9:12" x14ac:dyDescent="0.25"/>
    <row r="20" spans="9:12" x14ac:dyDescent="0.25"/>
    <row r="21" spans="9:12" x14ac:dyDescent="0.25"/>
    <row r="22" spans="9:12" x14ac:dyDescent="0.25"/>
    <row r="23" spans="9:12" x14ac:dyDescent="0.25"/>
    <row r="24" spans="9:12" x14ac:dyDescent="0.25"/>
    <row r="25" spans="9:12" x14ac:dyDescent="0.25"/>
    <row r="26" spans="9:12" x14ac:dyDescent="0.25"/>
    <row r="27" spans="9:12" x14ac:dyDescent="0.25"/>
    <row r="28" spans="9:12" x14ac:dyDescent="0.25"/>
    <row r="29" spans="9:12" x14ac:dyDescent="0.25"/>
    <row r="30" spans="9:12" x14ac:dyDescent="0.25"/>
    <row r="31" spans="9:12" x14ac:dyDescent="0.25"/>
    <row r="32" spans="9:12" x14ac:dyDescent="0.25"/>
    <row r="33" spans="9:12" x14ac:dyDescent="0.25"/>
    <row r="34" spans="9:12" x14ac:dyDescent="0.25"/>
    <row r="35" spans="9:12" x14ac:dyDescent="0.25"/>
    <row r="36" spans="9:12" x14ac:dyDescent="0.25"/>
    <row r="37" spans="9:12" x14ac:dyDescent="0.25"/>
    <row r="38" spans="9:12" x14ac:dyDescent="0.25"/>
    <row r="39" spans="9:12" x14ac:dyDescent="0.25"/>
    <row r="40" spans="9:12" x14ac:dyDescent="0.25"/>
    <row r="41" spans="9:12" x14ac:dyDescent="0.25"/>
    <row r="42" spans="9:12" x14ac:dyDescent="0.25"/>
    <row r="43" spans="9:12" x14ac:dyDescent="0.25"/>
    <row r="44" spans="9:12" x14ac:dyDescent="0.25"/>
    <row r="45" spans="9:12" x14ac:dyDescent="0.25"/>
    <row r="46" spans="9:12" x14ac:dyDescent="0.25"/>
    <row r="47" spans="9:12" x14ac:dyDescent="0.25"/>
    <row r="48" spans="9:12" x14ac:dyDescent="0.25"/>
    <row r="49" spans="9:12" x14ac:dyDescent="0.25"/>
    <row r="50" spans="9:12" x14ac:dyDescent="0.25"/>
    <row r="51" spans="9:12" x14ac:dyDescent="0.25"/>
    <row r="52" spans="9:12" x14ac:dyDescent="0.25"/>
    <row r="53" spans="9:12" x14ac:dyDescent="0.25"/>
    <row r="54" spans="9:12" x14ac:dyDescent="0.25"/>
    <row r="55" spans="9:12" x14ac:dyDescent="0.25"/>
    <row r="56" spans="9:12" x14ac:dyDescent="0.25"/>
    <row r="57" spans="9:12" x14ac:dyDescent="0.25"/>
    <row r="58" spans="9:12" x14ac:dyDescent="0.25"/>
    <row r="59" spans="9:12" x14ac:dyDescent="0.25"/>
    <row r="60" spans="9:12" x14ac:dyDescent="0.25"/>
    <row r="61" spans="9:12" x14ac:dyDescent="0.25"/>
    <row r="62" spans="9:12" x14ac:dyDescent="0.25"/>
    <row r="63" spans="9:12" x14ac:dyDescent="0.25"/>
    <row r="64" spans="9:12" x14ac:dyDescent="0.25"/>
    <row r="65" spans="9:12" x14ac:dyDescent="0.25"/>
    <row r="66" spans="9:12" x14ac:dyDescent="0.25"/>
    <row r="67" spans="9:12" x14ac:dyDescent="0.25"/>
    <row r="68" spans="9:12" x14ac:dyDescent="0.25"/>
    <row r="69" spans="9:12" x14ac:dyDescent="0.25"/>
    <row r="70" spans="9:12" x14ac:dyDescent="0.25"/>
    <row r="71" spans="9:12" x14ac:dyDescent="0.25"/>
    <row r="72" spans="9:12" x14ac:dyDescent="0.25"/>
    <row r="73" spans="9:12" x14ac:dyDescent="0.25"/>
    <row r="74" spans="9:12" x14ac:dyDescent="0.25"/>
    <row r="75" spans="9:12" x14ac:dyDescent="0.25"/>
    <row r="76" spans="9:12" x14ac:dyDescent="0.25"/>
    <row r="77" spans="9:12" x14ac:dyDescent="0.25"/>
    <row r="78" spans="9:12" x14ac:dyDescent="0.25"/>
    <row r="79" spans="9:12" x14ac:dyDescent="0.25"/>
    <row r="80" spans="9:12" x14ac:dyDescent="0.25"/>
    <row r="81" spans="9:12" x14ac:dyDescent="0.25"/>
    <row r="82" spans="9:12" x14ac:dyDescent="0.25"/>
    <row r="83" spans="9:12" x14ac:dyDescent="0.25"/>
    <row r="84" spans="9:12" x14ac:dyDescent="0.25"/>
    <row r="85" spans="9:12" x14ac:dyDescent="0.25"/>
    <row r="86" spans="9:12" x14ac:dyDescent="0.25"/>
    <row r="87" spans="9:12" x14ac:dyDescent="0.25"/>
    <row r="88" spans="9:12" x14ac:dyDescent="0.25"/>
    <row r="89" spans="9:12" x14ac:dyDescent="0.25"/>
    <row r="90" spans="9:12" x14ac:dyDescent="0.25"/>
    <row r="91" spans="9:12" x14ac:dyDescent="0.25"/>
    <row r="92" spans="9:12" x14ac:dyDescent="0.25"/>
    <row r="93" spans="9:12" x14ac:dyDescent="0.25"/>
    <row r="94" spans="9:12" x14ac:dyDescent="0.25"/>
    <row r="95" spans="9:12" x14ac:dyDescent="0.25"/>
    <row r="96" spans="9:12" x14ac:dyDescent="0.25"/>
    <row r="97" spans="9:12" x14ac:dyDescent="0.25"/>
    <row r="98" spans="9:12" x14ac:dyDescent="0.25"/>
    <row r="99" spans="9:12" x14ac:dyDescent="0.25"/>
    <row r="100" spans="9:12" x14ac:dyDescent="0.25"/>
    <row r="101" spans="9:12" x14ac:dyDescent="0.25"/>
    <row r="102" spans="9:12" x14ac:dyDescent="0.25"/>
    <row r="103" spans="9:12" x14ac:dyDescent="0.25"/>
    <row r="104" spans="9:12" x14ac:dyDescent="0.25"/>
    <row r="105" spans="9:12" x14ac:dyDescent="0.25"/>
    <row r="106" spans="9:12" x14ac:dyDescent="0.25"/>
    <row r="107" spans="9:12" x14ac:dyDescent="0.25"/>
    <row r="108" spans="9:12" x14ac:dyDescent="0.25"/>
    <row r="109" spans="9:12" x14ac:dyDescent="0.25"/>
    <row r="110" spans="9:12" x14ac:dyDescent="0.25"/>
    <row r="111" spans="9:12" x14ac:dyDescent="0.25"/>
    <row r="112" spans="9:12" x14ac:dyDescent="0.25"/>
    <row r="113" spans="9:12" x14ac:dyDescent="0.25"/>
    <row r="114" spans="9:12" x14ac:dyDescent="0.25"/>
    <row r="115" spans="9:12" x14ac:dyDescent="0.25"/>
    <row r="116" spans="9:12" x14ac:dyDescent="0.25"/>
    <row r="117" spans="9:12" x14ac:dyDescent="0.25"/>
    <row r="118" spans="9:12" x14ac:dyDescent="0.25"/>
    <row r="119" spans="9:12" x14ac:dyDescent="0.25"/>
    <row r="120" spans="9:12" x14ac:dyDescent="0.25"/>
    <row r="121" spans="9:12" x14ac:dyDescent="0.25"/>
    <row r="122" spans="9:12" x14ac:dyDescent="0.25"/>
    <row r="123" spans="9:12" x14ac:dyDescent="0.25"/>
    <row r="124" spans="9:12" x14ac:dyDescent="0.25"/>
    <row r="125" spans="9:12" x14ac:dyDescent="0.25"/>
    <row r="126" spans="9:12" x14ac:dyDescent="0.25"/>
    <row r="127" spans="9:12" x14ac:dyDescent="0.25"/>
    <row r="128" spans="9:12" x14ac:dyDescent="0.25"/>
    <row r="129" spans="9:12" x14ac:dyDescent="0.25"/>
    <row r="130" spans="9:12" x14ac:dyDescent="0.25"/>
    <row r="131" spans="9:12" x14ac:dyDescent="0.25"/>
    <row r="132" spans="9:12" x14ac:dyDescent="0.25"/>
    <row r="133" spans="9:12" x14ac:dyDescent="0.25"/>
    <row r="134" spans="9:12" x14ac:dyDescent="0.25"/>
    <row r="135" spans="9:12" x14ac:dyDescent="0.25"/>
    <row r="136" spans="9:12" x14ac:dyDescent="0.25"/>
    <row r="137" spans="9:12" x14ac:dyDescent="0.25"/>
    <row r="138" spans="9:12" x14ac:dyDescent="0.25"/>
    <row r="139" spans="9:12" x14ac:dyDescent="0.25"/>
    <row r="140" spans="9:12" x14ac:dyDescent="0.25"/>
    <row r="141" spans="9:12" x14ac:dyDescent="0.25"/>
    <row r="142" spans="9:12" x14ac:dyDescent="0.25"/>
    <row r="143" spans="9:12" x14ac:dyDescent="0.25"/>
    <row r="144" spans="9:12" x14ac:dyDescent="0.25"/>
    <row r="145" spans="9:12" x14ac:dyDescent="0.25"/>
    <row r="146" spans="9:12" x14ac:dyDescent="0.25"/>
    <row r="147" spans="9:12" x14ac:dyDescent="0.25"/>
    <row r="148" spans="9:12" x14ac:dyDescent="0.25"/>
    <row r="149" spans="9:12" x14ac:dyDescent="0.25"/>
    <row r="150" spans="9:12" x14ac:dyDescent="0.25"/>
    <row r="151" spans="9:12" x14ac:dyDescent="0.25"/>
    <row r="152" spans="9:12" x14ac:dyDescent="0.25"/>
    <row r="153" spans="9:12" x14ac:dyDescent="0.25"/>
    <row r="154" spans="9:12" x14ac:dyDescent="0.25"/>
    <row r="155" spans="9:12" x14ac:dyDescent="0.25"/>
    <row r="156" spans="9:12" x14ac:dyDescent="0.25"/>
    <row r="157" spans="9:12" x14ac:dyDescent="0.25"/>
    <row r="158" spans="9:12" x14ac:dyDescent="0.25"/>
    <row r="159" spans="9:12" x14ac:dyDescent="0.25"/>
    <row r="160" spans="9:12" x14ac:dyDescent="0.25"/>
    <row r="161" spans="9:12" x14ac:dyDescent="0.25"/>
    <row r="162" spans="9:12" x14ac:dyDescent="0.25"/>
    <row r="163" spans="9:12" x14ac:dyDescent="0.25"/>
    <row r="164" spans="9:12" x14ac:dyDescent="0.25"/>
    <row r="165" spans="9:12" x14ac:dyDescent="0.25"/>
    <row r="166" spans="9:12" x14ac:dyDescent="0.25"/>
    <row r="167" spans="9:12" x14ac:dyDescent="0.25"/>
    <row r="168" spans="9:12" x14ac:dyDescent="0.25"/>
    <row r="169" spans="9:12" x14ac:dyDescent="0.25"/>
    <row r="170" spans="9:12" x14ac:dyDescent="0.25"/>
    <row r="171" spans="9:12" x14ac:dyDescent="0.25"/>
    <row r="172" spans="9:12" x14ac:dyDescent="0.25"/>
    <row r="173" spans="9:12" x14ac:dyDescent="0.25"/>
    <row r="174" spans="9:12" x14ac:dyDescent="0.25"/>
    <row r="175" spans="9:12" x14ac:dyDescent="0.25"/>
    <row r="176" spans="9:12" x14ac:dyDescent="0.25"/>
    <row r="177" spans="9:12" x14ac:dyDescent="0.25"/>
    <row r="178" spans="9:12" x14ac:dyDescent="0.25"/>
    <row r="179" spans="9:12" x14ac:dyDescent="0.25"/>
    <row r="180" spans="9:12" x14ac:dyDescent="0.25"/>
    <row r="181" spans="9:12" x14ac:dyDescent="0.25"/>
    <row r="182" spans="9:12" x14ac:dyDescent="0.25"/>
    <row r="183" spans="9:12" x14ac:dyDescent="0.25"/>
    <row r="184" spans="9:12" x14ac:dyDescent="0.25"/>
    <row r="185" spans="9:12" x14ac:dyDescent="0.25"/>
    <row r="186" spans="9:12" x14ac:dyDescent="0.25"/>
    <row r="187" spans="9:12" x14ac:dyDescent="0.25"/>
    <row r="188" spans="9:12" x14ac:dyDescent="0.25"/>
    <row r="189" spans="9:12" x14ac:dyDescent="0.25"/>
    <row r="190" spans="9:12" x14ac:dyDescent="0.25"/>
    <row r="191" spans="9:12" x14ac:dyDescent="0.25"/>
    <row r="192" spans="9:12" x14ac:dyDescent="0.25"/>
    <row r="193" spans="9:12" x14ac:dyDescent="0.25"/>
    <row r="194" spans="9:12" x14ac:dyDescent="0.25"/>
    <row r="195" spans="9:12" x14ac:dyDescent="0.25"/>
    <row r="196" spans="9:12" x14ac:dyDescent="0.25"/>
    <row r="197" spans="9:12" x14ac:dyDescent="0.25"/>
    <row r="198" spans="9:12" x14ac:dyDescent="0.25"/>
    <row r="199" spans="9:12" x14ac:dyDescent="0.25"/>
    <row r="200" spans="9:12" x14ac:dyDescent="0.25"/>
    <row r="201" spans="9:12" x14ac:dyDescent="0.25"/>
    <row r="202" spans="9:12" x14ac:dyDescent="0.25"/>
  </sheetData>
  <autoFilter ref="A1:U202"/>
  <dataValidations count="8">
    <dataValidation type="list" allowBlank="1" sqref="I10:I202">
      <formula1>"Bug,Enhancement,Observation,Data Issue,Accessibility,Needs Decision"</formula1>
    </dataValidation>
    <dataValidation type="list" allowBlank="1" sqref="I2:I202">
      <formula1>"Bug,Enhancement,Observation,Data Issue,Accessibility,Needs Decision"</formula1>
    </dataValidation>
    <dataValidation type="list" allowBlank="1" sqref="J10:J202">
      <formula1>"Critical,High,Medium,Low"</formula1>
    </dataValidation>
    <dataValidation type="list" allowBlank="1" sqref="J2:J202">
      <formula1>"Critical,High,Medium,Low"</formula1>
    </dataValidation>
    <dataValidation type="list" allowBlank="1" sqref="K10:K202">
      <formula1>"P1 - Urgent,P2 - High,P3 - Medium,P4 - Low"</formula1>
    </dataValidation>
    <dataValidation type="list" allowBlank="1" sqref="K2:K202">
      <formula1>"P1 - Urgent,P2 - High,P3 - Medium,P4 - Low"</formula1>
    </dataValidation>
    <dataValidation type="list" allowBlank="1" sqref="L10:L202">
      <formula1>"Open,In Progress,Ready for Retest,Reopened,Closed,Won't Fix,Needs Decision"</formula1>
    </dataValidation>
    <dataValidation type="list" allowBlank="1" sqref="L2:L202">
      <formula1>"Open,In Progress,Ready for Retest,Reopened,Closed,Won't Fix,Needs Decision"</formula1>
    </dataValidation>
  </dataValidations>
  <hyperlinks>
    <hyperlink ref="N2" r:id="rId1"/>
    <hyperlink ref="N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40" customWidth="1"/>
    <col min="4" max="4" width="60" customWidth="1"/>
    <col min="5" max="5" width="14" customWidth="1"/>
    <col min="6" max="6" width="34" customWidth="1"/>
    <col min="7" max="7" width="20" customWidth="1"/>
    <col min="8" max="8" width="50" customWidth="1"/>
  </cols>
  <sheetData>
    <row r="1" ht="30" customHeight="1" spans="1:8" x14ac:dyDescent="0.25">
      <c r="A1" s="7" t="s">
        <v>105</v>
      </c>
      <c r="B1" s="7" t="s">
        <v>0</v>
      </c>
      <c r="C1" s="7" t="s">
        <v>106</v>
      </c>
      <c r="D1" s="7" t="s">
        <v>107</v>
      </c>
      <c r="E1" s="7" t="s">
        <v>24</v>
      </c>
      <c r="F1" s="7" t="s">
        <v>108</v>
      </c>
      <c r="G1" s="7" t="s">
        <v>109</v>
      </c>
      <c r="H1" s="7" t="s">
        <v>110</v>
      </c>
    </row>
    <row r="2" spans="1:8" x14ac:dyDescent="0.25">
      <c r="A2" s="9" t="s">
        <v>111</v>
      </c>
      <c r="B2" s="9" t="s">
        <v>112</v>
      </c>
      <c r="C2" s="9" t="s">
        <v>113</v>
      </c>
      <c r="D2" s="9" t="s">
        <v>114</v>
      </c>
      <c r="E2" s="10">
        <v>46326.34009435185</v>
      </c>
      <c r="F2" s="13" t="s">
        <v>115</v>
      </c>
      <c r="G2" s="9" t="s">
        <v>116</v>
      </c>
      <c r="H2" s="9" t="s">
        <v>46</v>
      </c>
    </row>
    <row r="3" spans="1:8" x14ac:dyDescent="0.25">
      <c r="A3" s="9" t="s">
        <v>117</v>
      </c>
      <c r="B3" s="9" t="s">
        <v>112</v>
      </c>
      <c r="C3" s="9" t="s">
        <v>118</v>
      </c>
      <c r="D3" s="9" t="s">
        <v>119</v>
      </c>
      <c r="E3" s="10">
        <v>46326.34009435185</v>
      </c>
      <c r="F3" s="13" t="s">
        <v>115</v>
      </c>
      <c r="G3" s="9" t="s">
        <v>116</v>
      </c>
      <c r="H3" s="9" t="s">
        <v>46</v>
      </c>
    </row>
    <row r="4" spans="1:8" x14ac:dyDescent="0.25">
      <c r="A4" s="9" t="s">
        <v>120</v>
      </c>
      <c r="B4" s="9" t="s">
        <v>112</v>
      </c>
      <c r="C4" s="9" t="s">
        <v>121</v>
      </c>
      <c r="D4" s="9" t="s">
        <v>122</v>
      </c>
      <c r="E4" s="10">
        <v>46326.34009435185</v>
      </c>
      <c r="F4" s="13" t="s">
        <v>115</v>
      </c>
      <c r="G4" s="9" t="s">
        <v>116</v>
      </c>
      <c r="H4" s="9" t="s">
        <v>46</v>
      </c>
    </row>
    <row r="5" spans="1:8" x14ac:dyDescent="0.25">
      <c r="A5" s="9" t="s">
        <v>123</v>
      </c>
      <c r="B5" s="9" t="s">
        <v>112</v>
      </c>
      <c r="C5" s="9" t="s">
        <v>124</v>
      </c>
      <c r="D5" s="9" t="s">
        <v>125</v>
      </c>
      <c r="E5" s="10">
        <v>46326.34009435185</v>
      </c>
      <c r="F5" s="13" t="s">
        <v>115</v>
      </c>
      <c r="G5" s="9" t="s">
        <v>116</v>
      </c>
      <c r="H5" s="9" t="s">
        <v>46</v>
      </c>
    </row>
    <row r="6" spans="1:8" x14ac:dyDescent="0.25">
      <c r="A6" s="9" t="s">
        <v>126</v>
      </c>
      <c r="B6" s="9" t="s">
        <v>112</v>
      </c>
      <c r="C6" s="9" t="s">
        <v>127</v>
      </c>
      <c r="D6" s="9" t="s">
        <v>128</v>
      </c>
      <c r="E6" s="10">
        <v>46326.34009435185</v>
      </c>
      <c r="F6" s="13" t="s">
        <v>115</v>
      </c>
      <c r="G6" s="9" t="s">
        <v>116</v>
      </c>
      <c r="H6" s="9" t="s">
        <v>46</v>
      </c>
    </row>
    <row r="7" spans="1:8" x14ac:dyDescent="0.25">
      <c r="A7" s="9" t="s">
        <v>129</v>
      </c>
      <c r="B7" s="9" t="s">
        <v>112</v>
      </c>
      <c r="C7" s="9" t="s">
        <v>130</v>
      </c>
      <c r="D7" s="9" t="s">
        <v>125</v>
      </c>
      <c r="E7" s="10">
        <v>46326.34009435185</v>
      </c>
      <c r="F7" s="13" t="s">
        <v>115</v>
      </c>
      <c r="G7" s="9" t="s">
        <v>116</v>
      </c>
      <c r="H7" s="9" t="s">
        <v>46</v>
      </c>
    </row>
    <row r="8" spans="1:8" x14ac:dyDescent="0.25">
      <c r="A8" s="9" t="s">
        <v>131</v>
      </c>
      <c r="B8" s="9" t="s">
        <v>112</v>
      </c>
      <c r="C8" s="9" t="s">
        <v>132</v>
      </c>
      <c r="D8" s="9" t="s">
        <v>128</v>
      </c>
      <c r="E8" s="10">
        <v>46326.34009435185</v>
      </c>
      <c r="F8" s="13" t="s">
        <v>115</v>
      </c>
      <c r="G8" s="9" t="s">
        <v>116</v>
      </c>
      <c r="H8" s="9" t="s">
        <v>46</v>
      </c>
    </row>
    <row r="9" spans="1:8" x14ac:dyDescent="0.25">
      <c r="A9" s="9" t="s">
        <v>133</v>
      </c>
      <c r="B9" s="9" t="s">
        <v>112</v>
      </c>
      <c r="C9" s="9" t="s">
        <v>134</v>
      </c>
      <c r="D9" s="9" t="s">
        <v>135</v>
      </c>
      <c r="E9" s="10">
        <v>46326.34009435185</v>
      </c>
      <c r="F9" s="13" t="s">
        <v>136</v>
      </c>
      <c r="G9" s="9" t="s">
        <v>116</v>
      </c>
      <c r="H9" s="9" t="s">
        <v>46</v>
      </c>
    </row>
    <row r="10" spans="1:8" x14ac:dyDescent="0.25">
      <c r="A10" s="9" t="s">
        <v>137</v>
      </c>
      <c r="B10" s="9" t="s">
        <v>112</v>
      </c>
      <c r="C10" s="9" t="s">
        <v>138</v>
      </c>
      <c r="D10" s="9" t="s">
        <v>125</v>
      </c>
      <c r="E10" s="10">
        <v>46326.34009435185</v>
      </c>
      <c r="F10" s="13" t="s">
        <v>115</v>
      </c>
      <c r="G10" s="9" t="s">
        <v>116</v>
      </c>
      <c r="H10" s="9" t="s">
        <v>46</v>
      </c>
    </row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</sheetData>
  <dataValidations count="2">
    <dataValidation type="list" allowBlank="1" sqref="G10:G30">
      <formula1>"To triage,Test-side issue,Environment issue,Application defect"</formula1>
    </dataValidation>
    <dataValidation type="list" allowBlank="1" sqref="G2:G30">
      <formula1>"To triage,Test-side issue,Environment issue,Application defect"</formula1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Login</vt:lpstr>
      <vt:lpstr>Campaigns</vt:lpstr>
      <vt:lpstr>Broadcasts</vt:lpstr>
      <vt:lpstr>Failures to triage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SalesHiker Mobile QA automation</dc:creator>
  <dc:title/>
  <dc:subject/>
  <dc:description/>
  <cp:keywords/>
  <cp:category/>
  <cp:lastModifiedBy>Unknown</cp:lastModifiedBy>
  <dcterms:created xsi:type="dcterms:W3CDTF">2026-10-31T08:18:33Z</dcterms:created>
  <dcterms:modified xsi:type="dcterms:W3CDTF">2026-10-31T08:18:33Z</dcterms:modified>
</cp:coreProperties>
</file>